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indows\Desktop\"/>
    </mc:Choice>
  </mc:AlternateContent>
  <xr:revisionPtr revIDLastSave="0" documentId="13_ncr:1_{288E845A-AE14-4AFD-AAEC-4D5161A6E723}" xr6:coauthVersionLast="47" xr6:coauthVersionMax="47" xr10:uidLastSave="{00000000-0000-0000-0000-000000000000}"/>
  <bookViews>
    <workbookView xWindow="-108" yWindow="-108" windowWidth="23256" windowHeight="13896" tabRatio="500" activeTab="3" xr2:uid="{00000000-000D-0000-FFFF-FFFF00000000}"/>
  </bookViews>
  <sheets>
    <sheet name="Leyenda" sheetId="1" r:id="rId1"/>
    <sheet name="Casos de prueba" sheetId="3" r:id="rId2"/>
    <sheet name="Resumen" sheetId="2" r:id="rId3"/>
    <sheet name="Flujos" sheetId="4" r:id="rId4"/>
  </sheets>
  <definedNames>
    <definedName name="_xlnm._FilterDatabase" localSheetId="1" hidden="1">'Casos de prueba'!$A$1:$I$133</definedName>
    <definedName name="_xlnm._FilterDatabase" localSheetId="3" hidden="1">Flujos!$A$1:$E$54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F11" i="2" l="1"/>
  <c r="E11" i="2"/>
  <c r="D11" i="2"/>
  <c r="C11" i="2"/>
  <c r="F10" i="2"/>
  <c r="E10" i="2"/>
  <c r="D10" i="2"/>
  <c r="C10" i="2"/>
  <c r="F9" i="2"/>
  <c r="E9" i="2"/>
  <c r="D9" i="2"/>
  <c r="C9" i="2"/>
  <c r="F8" i="2"/>
  <c r="E8" i="2"/>
  <c r="D8" i="2"/>
  <c r="C8" i="2"/>
  <c r="F7" i="2"/>
  <c r="E7" i="2"/>
  <c r="D7" i="2"/>
  <c r="C7" i="2"/>
  <c r="F6" i="2"/>
  <c r="E6" i="2"/>
  <c r="D6" i="2"/>
  <c r="C6" i="2"/>
  <c r="F5" i="2"/>
  <c r="E5" i="2"/>
  <c r="D5" i="2"/>
  <c r="C5" i="2"/>
  <c r="F4" i="2"/>
  <c r="E4" i="2"/>
  <c r="D4" i="2"/>
  <c r="C4" i="2"/>
  <c r="F3" i="2"/>
  <c r="E3" i="2"/>
  <c r="D3" i="2"/>
  <c r="C3" i="2"/>
  <c r="F2" i="2"/>
  <c r="E2" i="2"/>
  <c r="D2" i="2"/>
  <c r="C2" i="2"/>
  <c r="G8" i="2" l="1"/>
  <c r="G6" i="2"/>
  <c r="G10" i="2"/>
  <c r="G5" i="2"/>
  <c r="G9" i="2"/>
  <c r="G2" i="2"/>
  <c r="G4" i="2"/>
  <c r="D12" i="2"/>
  <c r="E12" i="2"/>
  <c r="F12" i="2"/>
  <c r="G3" i="2"/>
  <c r="G7" i="2"/>
  <c r="G11" i="2"/>
  <c r="C12" i="2"/>
  <c r="G12" i="2" s="1"/>
</calcChain>
</file>

<file path=xl/sharedStrings.xml><?xml version="1.0" encoding="utf-8"?>
<sst xmlns="http://schemas.openxmlformats.org/spreadsheetml/2006/main" count="1300" uniqueCount="753">
  <si>
    <t>Casos de prueba por HU: proyecto de acompañamiento académico</t>
  </si>
  <si>
    <t>• Categorías: Ideal (seguir los pasos sin desviarse), Límite (roza los bordes del programa), Peor caso (usuario que prueba de todo).</t>
  </si>
  <si>
    <t>Abreviaturas</t>
  </si>
  <si>
    <t>• 'Login X / Y' = Menú general → 1 → usuario X → contraseña Y.</t>
  </si>
  <si>
    <t>• 'Op N' = opción N del menú del rol indicado (administrador, estudiante, monitor o profesor).</t>
  </si>
  <si>
    <t>• Usuarios base: admin/admin123, estudiante/estu123 (Tatiana, código 1), juan123/carlos123 (Juan Carlos, código 2), monitor/mon123, profesor/prof123.</t>
  </si>
  <si>
    <t>• Solicitudes base: #1 MAT101 (urg. 2, Pendiente), #2 PROG102 (3, Atendida), #3 PROG102 (2, Cancelada), #4 FIS105 (2, Pendiente).</t>
  </si>
  <si>
    <t>Estado de las HU en esta hoja</t>
  </si>
  <si>
    <t>HU</t>
  </si>
  <si>
    <t>Estado de la HU</t>
  </si>
  <si>
    <t>Total de casos</t>
  </si>
  <si>
    <t>Pasó</t>
  </si>
  <si>
    <t>Falló</t>
  </si>
  <si>
    <t>Pendiente</t>
  </si>
  <si>
    <t>% que pasó</t>
  </si>
  <si>
    <t>HU-06</t>
  </si>
  <si>
    <t>Validada</t>
  </si>
  <si>
    <t>HU-07</t>
  </si>
  <si>
    <t>HU-08</t>
  </si>
  <si>
    <t>Parcial</t>
  </si>
  <si>
    <t>HU-11</t>
  </si>
  <si>
    <t>HU-12</t>
  </si>
  <si>
    <t>HU-13</t>
  </si>
  <si>
    <t>HU-22</t>
  </si>
  <si>
    <t>HU-26</t>
  </si>
  <si>
    <t>HU-28</t>
  </si>
  <si>
    <t>HU-29</t>
  </si>
  <si>
    <t>Total</t>
  </si>
  <si>
    <t>Los conteos se calculan solos a partir de la columna Estado de la hoja 'Casos de prueba'.</t>
  </si>
  <si>
    <t>ID</t>
  </si>
  <si>
    <t>Categoría</t>
  </si>
  <si>
    <t>¿Qué se prueba?</t>
  </si>
  <si>
    <t>Pasos / entrada</t>
  </si>
  <si>
    <t>Resultado esperado</t>
  </si>
  <si>
    <t>Resultado obtenido</t>
  </si>
  <si>
    <t>Estado</t>
  </si>
  <si>
    <t>Observaciones</t>
  </si>
  <si>
    <t>CP-06-01</t>
  </si>
  <si>
    <t>Ideal</t>
  </si>
  <si>
    <t>Ver el historial propio con los datos base</t>
  </si>
  <si>
    <t>Login estudiante / estu123 → opción 4</t>
  </si>
  <si>
    <t>Muestra #1, #2, #3 y #4 en ese orden, cada una con materia, urgencia (Media, Alta, Media, Media), estado (Pendiente, Atendida, Cancelada, Pendiente) y detalle.</t>
  </si>
  <si>
    <t>CP-06-02</t>
  </si>
  <si>
    <t>Crear una solicitud, verla en el historial y que persista</t>
  </si>
  <si>
    <t>Login estudiante → opción 3 → PROG201 → urgencia 2 → 'Ayuda con recursion' → opción 4 → 0 → 0 (guarda) → abrir de nuevo, login y opción 4</t>
  </si>
  <si>
    <t>Aparece #5 al final con estado Pendiente y sigue ahí tras reiniciar el programa.</t>
  </si>
  <si>
    <t>CP-06-03</t>
  </si>
  <si>
    <t>Límite</t>
  </si>
  <si>
    <t>Estudiante sin solicitudes</t>
  </si>
  <si>
    <t>Login juan123 / carlos123 → opción 4</t>
  </si>
  <si>
    <t>Mensaje 'Aun no tienes solicitudes.' y vuelve al menú.</t>
  </si>
  <si>
    <t>CP-06-04</t>
  </si>
  <si>
    <t>Aislamiento entre estudiantes</t>
  </si>
  <si>
    <t>Juan Carlos crea una solicitud (MAT101, urgencia 1, 'Prueba') → opción 4 con Juan → cerrar sesión → login Tatiana → opción 4</t>
  </si>
  <si>
    <t>Juan ve solo la suya; Tatiana no ve la de Juan.</t>
  </si>
  <si>
    <t>CP-06-05</t>
  </si>
  <si>
    <t>Descripción con comas y descripción muy larga</t>
  </si>
  <si>
    <t>Ambas se muestran completas, sin cortarse en la coma.</t>
  </si>
  <si>
    <t>CP-06-06</t>
  </si>
  <si>
    <t>Orden cronológico con el archivo editado a mano</t>
  </si>
  <si>
    <t>Editar solicitudes.txt dejando los ids en orden 3, 1, 4, 2 → iniciar → login Tatiana → opción 4</t>
  </si>
  <si>
    <t>Se muestran en el orden del archivo (3, 1, 4, 2), no ordenadas por id.</t>
  </si>
  <si>
    <t>'Cronológico' depende del orden en que se guardó; el programa no reordena por id.</t>
  </si>
  <si>
    <t>CP-06-07</t>
  </si>
  <si>
    <t>Revertir una asignación no altera el historial</t>
  </si>
  <si>
    <t>Admin op 6 (monitor, MAT101) → op 9 (monitor, 1) → op 7 → login Tatiana → opción 4</t>
  </si>
  <si>
    <t>#1 vuelve a Pendiente; las 4 solicitudes siguen en el mismo orden y no se borra ninguna.</t>
  </si>
  <si>
    <t>CP-06-08</t>
  </si>
  <si>
    <t>Peor caso</t>
  </si>
  <si>
    <t>Opciones de menú inválidas</t>
  </si>
  <si>
    <t>En el menú estudiante escribir, una por una: abc, cuatro, -4, 44, 99</t>
  </si>
  <si>
    <t>Cada una muestra 'Opcion invalida.' sin cerrar el programa ni cambiar el historial.</t>
  </si>
  <si>
    <t>CP-06-09</t>
  </si>
  <si>
    <t>Decimal en el menú</t>
  </si>
  <si>
    <t>En el menú estudiante escribir 4.0</t>
  </si>
  <si>
    <t>Ejecuta la opción 4; el '.0' queda en el buffer y el siguiente menú muestra 'Opcion invalida.' una sola vez; luego sigue normal.</t>
  </si>
  <si>
    <t>Comportamiento de cin &gt;&gt; int: lee el 4 y deja '.0'.</t>
  </si>
  <si>
    <t>CP-06-10</t>
  </si>
  <si>
    <t>ESTUDIANTE/estu123 · estudiante/ESTU123 · EsTuDiAnTe/EsTu123 · 'estu diante'/estu123</t>
  </si>
  <si>
    <t>Todos muestran 'Usuario o contrasena incorrectos.'. En el último, el sobrante 'estu123' se lee como opción del menú general y da 'Opcion invalida.'.</t>
  </si>
  <si>
    <t>El login distingue mayúsculas y cin &gt;&gt; corta en el espacio.</t>
  </si>
  <si>
    <t>CP-06-11</t>
  </si>
  <si>
    <t>Datos inválidos al crear la solicitud</t>
  </si>
  <si>
    <t>Opción 3 → materia 'mat101' (minúscula) · luego con MAT101 probar urgencia 0, 4, 'alta' y solo espacios</t>
  </si>
  <si>
    <t>CP-07-01</t>
  </si>
  <si>
    <t>Ver la cola en orden de atención</t>
  </si>
  <si>
    <t>Login monitor / mon123 → opción 2</t>
  </si>
  <si>
    <t>Muestra 1. #1 y 2. #4 (misma urgencia: la más antigua primero).</t>
  </si>
  <si>
    <t>CP-07-02</t>
  </si>
  <si>
    <t>Atender la siguiente solicitud</t>
  </si>
  <si>
    <t>Monitor → opción 3 → opción 2</t>
  </si>
  <si>
    <t>#1 pasa a Atendida y se muestra; la cola queda solo con #4.</t>
  </si>
  <si>
    <t>CP-07-03</t>
  </si>
  <si>
    <t>Cancelar una solicitud la retira de la cola</t>
  </si>
  <si>
    <t>Tatiana opción 5 → id 1 → luego monitor opción 2</t>
  </si>
  <si>
    <t>La cola muestra solo #4.</t>
  </si>
  <si>
    <t>CP-07-04</t>
  </si>
  <si>
    <t>La cola se reconstruye al iniciar</t>
  </si>
  <si>
    <t>Cerrar el programa sin cambios (0, 0) → abrir → monitor opción 2</t>
  </si>
  <si>
    <t>Se ven #1 y #4 como al inicio.</t>
  </si>
  <si>
    <t>CP-07-05</t>
  </si>
  <si>
    <t>Cola vacía</t>
  </si>
  <si>
    <t>Monitor opción 3 dos veces (atiende #1 y #4) → opción 3 una tercera vez → opción 2</t>
  </si>
  <si>
    <t>Tercera vez y opción 2: 'No hay solicitudes pendientes.' sin errores.</t>
  </si>
  <si>
    <t>CP-07-06</t>
  </si>
  <si>
    <t>Una sola solicitud en la cola</t>
  </si>
  <si>
    <t>Dejar solo #1 Pendiente en el archivo → monitor opción 2 → opción 3</t>
  </si>
  <si>
    <t>Opción 2 muestra una; opción 3 la atiende y la cola queda vacía.</t>
  </si>
  <si>
    <t>CP-07-07</t>
  </si>
  <si>
    <t>Archivo sin solicitudes pendientes</t>
  </si>
  <si>
    <t>Dejar todas en Atendida o Cancelada → iniciar → monitor opción 2</t>
  </si>
  <si>
    <t>'No hay solicitudes pendientes.'</t>
  </si>
  <si>
    <t>CP-07-08</t>
  </si>
  <si>
    <t>Estado escrito distinto en el archivo</t>
  </si>
  <si>
    <t>Cambiar #4 a 'pendiente' (minúscula) → iniciar → monitor opción 2</t>
  </si>
  <si>
    <t>#4 no aparece en la cola.</t>
  </si>
  <si>
    <t>Solo se reconstruye con el texto exacto 'Pendiente' (sensible a mayúsculas).</t>
  </si>
  <si>
    <t>CP-07-09</t>
  </si>
  <si>
    <t>Solicitud Asignada al cerrar el programa</t>
  </si>
  <si>
    <t>Admin asigna #1 (op 6 y op 9) → cerrar sin deshacer → abrir → monitor opción 2</t>
  </si>
  <si>
    <t>#1 vuelve a Pendiente y aparece de nuevo en la cola.</t>
  </si>
  <si>
    <t>CP-07-10</t>
  </si>
  <si>
    <t>Urgencia fuera de rango en el archivo</t>
  </si>
  <si>
    <t>Cambiar la urgencia de #4 a 7 → iniciar → monitor opción 2</t>
  </si>
  <si>
    <t>#4 queda primera en la cola y se muestra con urgencia 'Baja'.</t>
  </si>
  <si>
    <t>CP-07-11</t>
  </si>
  <si>
    <t>Menú del monitor con entradas inválidas</t>
  </si>
  <si>
    <t>Escribir 9, -1, dos, op</t>
  </si>
  <si>
    <t>'Opcion invalida.' cada vez; la cola no se altera.</t>
  </si>
  <si>
    <t>CP-07-12</t>
  </si>
  <si>
    <t>'3abc' en el menú</t>
  </si>
  <si>
    <t>Menú monitor → escribir 3abc</t>
  </si>
  <si>
    <t>Ejecuta 'atender siguiente'; 'abc' sobra y el siguiente menú muestra 'Opcion invalida.' una vez.</t>
  </si>
  <si>
    <t>CP-07-13</t>
  </si>
  <si>
    <t>Atender repetidas veces con espacios</t>
  </si>
  <si>
    <t>Con 2 pendientes escribir ' 3 ' tres veces seguidas</t>
  </si>
  <si>
    <t>Atiende #1, luego #4, y la tercera muestra 'No hay solicitudes pendientes.'</t>
  </si>
  <si>
    <t>CP-07-14</t>
  </si>
  <si>
    <t>Login del monitor con mayúsculas</t>
  </si>
  <si>
    <t>MONITOR/MON123 · Monitor/mon123 · monitor/Mon123</t>
  </si>
  <si>
    <t>'Usuario o contrasena incorrectos.' en los tres.</t>
  </si>
  <si>
    <t>CP-08-01</t>
  </si>
  <si>
    <t>Mayor urgencia primero</t>
  </si>
  <si>
    <t>Tatiana crea solicitud (MAT101, urgencia 3, 'Urgente') → monitor opción 2</t>
  </si>
  <si>
    <t>La nueva queda de primera, antes de #1 y #4.</t>
  </si>
  <si>
    <t>HU parcial: falta conectar la prioridad con grafos.</t>
  </si>
  <si>
    <t>CP-08-02</t>
  </si>
  <si>
    <t>Igual urgencia: la más antigua primero</t>
  </si>
  <si>
    <t>Crear una solicitud con urgencia 2 → monitor opción 2</t>
  </si>
  <si>
    <t>Orden #1, #4, #nueva.</t>
  </si>
  <si>
    <t>CP-08-03</t>
  </si>
  <si>
    <t>Urgencia mínima queda al final</t>
  </si>
  <si>
    <t>Crear una solicitud con urgencia 1 → opción 2</t>
  </si>
  <si>
    <t>Queda en la última posición.</t>
  </si>
  <si>
    <t>CP-08-04</t>
  </si>
  <si>
    <t>Una solicitud re-encolada recupera su lugar</t>
  </si>
  <si>
    <t>Admin op 6 (monitor, MAT101) → op 9 (monitor, 1) → op 7 → monitor opción 2</t>
  </si>
  <si>
    <t>#1 vuelve antes que #4 (conserva antigüedad), no al final.</t>
  </si>
  <si>
    <t>CP-08-05</t>
  </si>
  <si>
    <t>Criterios documentados vs implementados</t>
  </si>
  <si>
    <t>Revisar ColaSolicitudes::encolar y la documentación de criterios</t>
  </si>
  <si>
    <t>Solo existen urgencia y antigüedad (id); no hay riesgo académico ni criterios por grafo.</t>
  </si>
  <si>
    <t>Es la razón por la que la HU pasó a parcial.</t>
  </si>
  <si>
    <t>CP-08-06</t>
  </si>
  <si>
    <t>Urgencia inválida al crear</t>
  </si>
  <si>
    <t>Opción 3 del estudiante con urgencia 0, 4, -2, 'alta'</t>
  </si>
  <si>
    <t>'Entrada invalida. Ingrese un numero entre 1 y 3.' y repite; no se crea nada.</t>
  </si>
  <si>
    <t>CP-08-07</t>
  </si>
  <si>
    <t>Urgencia decimal</t>
  </si>
  <si>
    <t>Urgencia 2.5 → continuar la creación</t>
  </si>
  <si>
    <t>Toma 2 como urgencia; el '.5' sobrante se lee como descripción de la solicitud.</t>
  </si>
  <si>
    <t>CP-08-08</t>
  </si>
  <si>
    <t>Muchas solicitudes con la misma urgencia</t>
  </si>
  <si>
    <t>Crear 10 solicitudes urgencia 3 → monitor opción 2</t>
  </si>
  <si>
    <t>Quedan en orden de llegada (id ascendente) dentro del nivel 3.</t>
  </si>
  <si>
    <t>CP-11-01</t>
  </si>
  <si>
    <t>Ordenar por urgencia con los datos base</t>
  </si>
  <si>
    <t>Login admin / admin123 → opción 11 → criterio 1</t>
  </si>
  <si>
    <t>Orden #2 (Alta), #1, #3, #4 (Media, la más antigua primero) y '(merge sort: 4 comparaciones)'.</t>
  </si>
  <si>
    <t>CP-11-02</t>
  </si>
  <si>
    <t>El orden original no se altera</t>
  </si>
  <si>
    <t>Después de lo anterior → opción 5</t>
  </si>
  <si>
    <t>Las solicitudes siguen #1, #2, #3, #4 (orden de llegada).</t>
  </si>
  <si>
    <t>CP-11-03</t>
  </si>
  <si>
    <t>Sin solicitudes</t>
  </si>
  <si>
    <t>Dejar solicitudes.txt vacío → admin opción 11</t>
  </si>
  <si>
    <t>'No hay solicitudes registradas.'</t>
  </si>
  <si>
    <t>CP-11-04</t>
  </si>
  <si>
    <t>Una sola solicitud</t>
  </si>
  <si>
    <t>Dejar solo #1 en el archivo → opción 11 → criterio 1</t>
  </si>
  <si>
    <t>Muestra #1 y '0 comparaciones'.</t>
  </si>
  <si>
    <t>CP-11-05</t>
  </si>
  <si>
    <t>Dos solicitudes</t>
  </si>
  <si>
    <t>Dejar #1 y #2 → opción 11 → criterio 1</t>
  </si>
  <si>
    <t>Orden #2, #1 y '1 comparaciones'.</t>
  </si>
  <si>
    <t>CP-11-06</t>
  </si>
  <si>
    <t>Todas con la misma urgencia</t>
  </si>
  <si>
    <t>Poner urgencia 2 en las cuatro → opción 11 → criterio 1</t>
  </si>
  <si>
    <t>Quedan por id: #1, #2, #3, #4.</t>
  </si>
  <si>
    <t>CP-11-07</t>
  </si>
  <si>
    <t>Urgencia 7 en #4 → opción 11 → criterio 1</t>
  </si>
  <si>
    <t>#4 va primero y se muestra como 'Baja'.</t>
  </si>
  <si>
    <t>Falta validar la urgencia al cargar.</t>
  </si>
  <si>
    <t>CP-11-08</t>
  </si>
  <si>
    <t>Criterio fuera de rango</t>
  </si>
  <si>
    <t>Opción 11 → criterio 0, 4, -1</t>
  </si>
  <si>
    <t>'Entrada invalida. Ingrese un numero entre 1 y 3.' y repite.</t>
  </si>
  <si>
    <t>CP-11-09</t>
  </si>
  <si>
    <t>Criterio en texto o mezclado</t>
  </si>
  <si>
    <t>Opción 11 → 'uno', 'URGENCIA', 'UrGeNcIa', '1abc'</t>
  </si>
  <si>
    <t>Las tres primeras repiten la pregunta; '1abc' ordena por urgencia y deja 'abc', que da 'Opcion invalida.' en el menú.</t>
  </si>
  <si>
    <t>CP-11-10</t>
  </si>
  <si>
    <t>Un rol sin permiso intenta la opción</t>
  </si>
  <si>
    <t>Login estudiante → escribir 11; login profesor → escribir 11</t>
  </si>
  <si>
    <t>'Opcion invalida.' en ambos (esa opción no existe en esos menús).</t>
  </si>
  <si>
    <t>CP-11-11</t>
  </si>
  <si>
    <t>Opción con espacios y ceros</t>
  </si>
  <si>
    <t>Escribir ' 11 ' y '011' en el menú del administrador</t>
  </si>
  <si>
    <t>Ambas se interpretan como 11 y ejecutan el ordenamiento.</t>
  </si>
  <si>
    <t>CP-12-01</t>
  </si>
  <si>
    <t>Ordenar por antigüedad (monitor)</t>
  </si>
  <si>
    <t>Login monitor / mon123 → opción 5 → criterio 2</t>
  </si>
  <si>
    <t>Orden #1, #2, #3, #4 y '(merge sort: 4 comparaciones)'.</t>
  </si>
  <si>
    <t>CP-12-02</t>
  </si>
  <si>
    <t>Ordenar por antigüedad (administrador)</t>
  </si>
  <si>
    <t>Login admin → opción 11 → criterio 2</t>
  </si>
  <si>
    <t>Mismo resultado que el monitor.</t>
  </si>
  <si>
    <t>CP-12-03</t>
  </si>
  <si>
    <t>solicitudes.txt vacío → opción 5 del monitor → criterio 2</t>
  </si>
  <si>
    <t>CP-12-04</t>
  </si>
  <si>
    <t>Ids desordenados en el archivo</t>
  </si>
  <si>
    <t>Dejar ids en orden 4, 2, 3, 1 → iniciar → criterio 2</t>
  </si>
  <si>
    <t>Salida #1, #2, #3, #4.</t>
  </si>
  <si>
    <t>CP-12-05</t>
  </si>
  <si>
    <t>Ids repetidos</t>
  </si>
  <si>
    <t>Duplicar la línea de #2 en el archivo → criterio 2</t>
  </si>
  <si>
    <t>Aparecen ambas copias juntas; no se pierde ni se cuelga.</t>
  </si>
  <si>
    <t>CP-12-06</t>
  </si>
  <si>
    <t>Solicitud nueva queda al final</t>
  </si>
  <si>
    <t>Tatiana crea una solicitud → criterio 2</t>
  </si>
  <si>
    <t>La nueva (#5) aparece de última.</t>
  </si>
  <si>
    <t>CP-12-07</t>
  </si>
  <si>
    <t>Dejar solo #1 → criterio 2</t>
  </si>
  <si>
    <t>Muestra #1 con 0 comparaciones.</t>
  </si>
  <si>
    <t>CP-12-08</t>
  </si>
  <si>
    <t>Criterio con formatos raros</t>
  </si>
  <si>
    <t>Escribir ' 2 ', '02', '2.0'</t>
  </si>
  <si>
    <t>' 2 ' y '02' ordenan por antigüedad; '2.0' ordena y el '.0' sobrante da 'Opcion invalida.' en el siguiente menú.</t>
  </si>
  <si>
    <t>CP-12-09</t>
  </si>
  <si>
    <t>Criterio en texto, mayúsculas y minúsculas</t>
  </si>
  <si>
    <t>'dos', 'ANTIGUEDAD', 'antiguedad', 'AnTiGuEdAd'</t>
  </si>
  <si>
    <t>Todos repiten 'Entrada invalida. Ingrese un numero entre 1 y 3.'</t>
  </si>
  <si>
    <t>CP-12-10</t>
  </si>
  <si>
    <t>Número fuera de rango y negativos</t>
  </si>
  <si>
    <t>Escribir 0, 4, -2, 999999999999</t>
  </si>
  <si>
    <t>Todos muestran el mensaje de entrada inválida y repiten sin bloquearse.</t>
  </si>
  <si>
    <t>CP-12-11</t>
  </si>
  <si>
    <t>Ordenar varias veces seguidas</t>
  </si>
  <si>
    <t>Ordenar por antigüedad 5 veces seguidas y luego opción 1</t>
  </si>
  <si>
    <t>El resultado es el mismo siempre y el original no cambió.</t>
  </si>
  <si>
    <t>CP-13-01</t>
  </si>
  <si>
    <t>Agrupar por materia con los datos base</t>
  </si>
  <si>
    <t>Login admin → opción 11 → criterio 3</t>
  </si>
  <si>
    <t>Orden #4 (FIS105), #1 (MAT101), #2 (PROG102), #3 (PROG102) y '(merge sort: 5 comparaciones)'.</t>
  </si>
  <si>
    <t>CP-13-02</t>
  </si>
  <si>
    <t>Dentro de cada materia, la más antigua primero</t>
  </si>
  <si>
    <t>Revisar PROG102 en el resultado anterior</t>
  </si>
  <si>
    <t>#2 aparece antes que #3.</t>
  </si>
  <si>
    <t>CP-13-03</t>
  </si>
  <si>
    <t>Todas de la misma materia</t>
  </si>
  <si>
    <t>Poner MAT101 en las cuatro → criterio 3</t>
  </si>
  <si>
    <t>CP-13-04</t>
  </si>
  <si>
    <t>Código de materia en minúscula en el archivo</t>
  </si>
  <si>
    <t>Cambiar #1 a 'mat101' → criterio 3</t>
  </si>
  <si>
    <t>'mat101' queda después de todos los códigos en mayúscula.</t>
  </si>
  <si>
    <t>Orden por código ASCII: las minúsculas van después.</t>
  </si>
  <si>
    <t>CP-13-05</t>
  </si>
  <si>
    <t>Incluye solicitudes en todos los estados</t>
  </si>
  <si>
    <t>Con datos base (hay Atendida y Cancelada) → criterio 3</t>
  </si>
  <si>
    <t>#2 (Atendida) y #3 (Cancelada) aparecen en el resultado.</t>
  </si>
  <si>
    <t>CP-13-06</t>
  </si>
  <si>
    <t>Materia que no existe en materias.txt</t>
  </si>
  <si>
    <t>Cambiar #4 a ZZZ999 → criterio 3</t>
  </si>
  <si>
    <t>Se ordena igual y queda de última.</t>
  </si>
  <si>
    <t>CP-13-07</t>
  </si>
  <si>
    <t>solicitudes.txt vacío → criterio 3</t>
  </si>
  <si>
    <t>CP-13-08</t>
  </si>
  <si>
    <t>Criterio decimal o con texto pegado</t>
  </si>
  <si>
    <t>Escribir 3.5, 3abc</t>
  </si>
  <si>
    <t>Ambos ordenan por materia; el sobrante '.5' / 'abc' da 'Opcion invalida.' en el menú siguiente.</t>
  </si>
  <si>
    <t>CP-13-09</t>
  </si>
  <si>
    <t>Criterio en texto</t>
  </si>
  <si>
    <t>'tres', 'MATERIA', 'Materia'</t>
  </si>
  <si>
    <t>Mensaje de entrada inválida y repite.</t>
  </si>
  <si>
    <t>CP-13-10</t>
  </si>
  <si>
    <t>0, 4, -3</t>
  </si>
  <si>
    <t>CP-13-11</t>
  </si>
  <si>
    <t>Ordenar por materia, luego por urgencia, luego por materia</t>
  </si>
  <si>
    <t>Criterio 3 → criterio 1 → criterio 3 → opción 5</t>
  </si>
  <si>
    <t>Cada vez el resultado es el esperado para su criterio y el original sigue en orden de llegada.</t>
  </si>
  <si>
    <t>CP-22-01</t>
  </si>
  <si>
    <t>Cancelar una solicitud propia pendiente</t>
  </si>
  <si>
    <t>Login estudiante → opción 5 → id 1 → opción 4</t>
  </si>
  <si>
    <t>'Solicitud #1 cancelada.' y en el historial aparece como Cancelada.</t>
  </si>
  <si>
    <t>CP-22-02</t>
  </si>
  <si>
    <t>Cancelar una solicitud recién creada</t>
  </si>
  <si>
    <t>Crear solicitud (opción 3) → opción 5 con su id → opción 4</t>
  </si>
  <si>
    <t>Queda Cancelada y sigue en el historial.</t>
  </si>
  <si>
    <t>CP-22-03</t>
  </si>
  <si>
    <t>La cancelada sale de la cola</t>
  </si>
  <si>
    <t>Después de cancelar #1 → login monitor → opción 2</t>
  </si>
  <si>
    <t>CP-22-04</t>
  </si>
  <si>
    <t>Cancelar una solicitud Atendida o ya Cancelada</t>
  </si>
  <si>
    <t>Opción 5 → id 2 · opción 5 → id 3</t>
  </si>
  <si>
    <t>'Solo se pueden cancelar solicitudes pendientes.' en ambas.</t>
  </si>
  <si>
    <t>CP-22-05</t>
  </si>
  <si>
    <t>Cancelar una solicitud Asignada</t>
  </si>
  <si>
    <t>Admin asigna #1 (op 6 y 9) → Tatiana opción 5 → id 1</t>
  </si>
  <si>
    <t>'Solo se pueden cancelar solicitudes pendientes.'</t>
  </si>
  <si>
    <t>CP-22-06</t>
  </si>
  <si>
    <t>Cancelar la solicitud de otro estudiante</t>
  </si>
  <si>
    <t>Login Juan Carlos → opción 5 → id 4</t>
  </si>
  <si>
    <t>'No tienes una solicitud con ese id.'</t>
  </si>
  <si>
    <t>CP-22-07</t>
  </si>
  <si>
    <t>Id que no existe y id máximo</t>
  </si>
  <si>
    <t>Opción 5 → 999 · opción 5 → 2147483647</t>
  </si>
  <si>
    <t>'No tienes una solicitud con ese id.' en ambos.</t>
  </si>
  <si>
    <t>CP-22-08</t>
  </si>
  <si>
    <t>Cancelar la única pendiente</t>
  </si>
  <si>
    <t>Dejar solo #1 pendiente → cancelar #1 → monitor opción 2</t>
  </si>
  <si>
    <t>La cola queda vacía: 'No hay solicitudes pendientes.'</t>
  </si>
  <si>
    <t>CP-22-09</t>
  </si>
  <si>
    <t>La cancelación persiste al reiniciar</t>
  </si>
  <si>
    <t>Cancelar #1 → salir (0, 0) → abrir → opción 4 y monitor opción 2</t>
  </si>
  <si>
    <t>#1 sigue Cancelada y no vuelve a la cola.</t>
  </si>
  <si>
    <t>CP-22-10</t>
  </si>
  <si>
    <t>Id con cero, negativo o texto</t>
  </si>
  <si>
    <t>Opción 5 → 0, -1, uno</t>
  </si>
  <si>
    <t>'Entrada invalida. Ingrese un numero entre 1 y 2147483647.' y repite.</t>
  </si>
  <si>
    <t>CP-22-11</t>
  </si>
  <si>
    <t>Id desbordado</t>
  </si>
  <si>
    <t>Opción 5 → 99999999999</t>
  </si>
  <si>
    <t>Mensaje de entrada inválida y repite; no se cae.</t>
  </si>
  <si>
    <t>CP-22-12</t>
  </si>
  <si>
    <t>Id decimal</t>
  </si>
  <si>
    <t>Opción 5 → 1.9</t>
  </si>
  <si>
    <t>Cancela #1 y el '.9' sobrante da 'Opcion invalida.' en el siguiente menú.</t>
  </si>
  <si>
    <t>CP-22-13</t>
  </si>
  <si>
    <t>Id con ceros y espacios</t>
  </si>
  <si>
    <t>Opción 5 → '01' y '   1   '</t>
  </si>
  <si>
    <t>Ambos se interpretan como 1.</t>
  </si>
  <si>
    <t>CP-22-14</t>
  </si>
  <si>
    <t>Dos números en la misma línea</t>
  </si>
  <si>
    <t>Opción 5 → escribir '1 1'</t>
  </si>
  <si>
    <t>Cancela #1 y el segundo '1' se lee como opción del menú: abre 'Ver materias disponibles'.</t>
  </si>
  <si>
    <t>Observar que no rompe el programa pero cambia el flujo.</t>
  </si>
  <si>
    <t>CP-26-01</t>
  </si>
  <si>
    <t>Buscar una materia del medio</t>
  </si>
  <si>
    <t>Login admin → opción 3 → MAT101</t>
  </si>
  <si>
    <t>Muestra la materia y '(secuencial: 5 comparaciones | binaria: 3 comparaciones)'.</t>
  </si>
  <si>
    <t>CP-26-02</t>
  </si>
  <si>
    <t>Buscar HUM301 (centro del vector)</t>
  </si>
  <si>
    <t>Opción 3 → HUM301</t>
  </si>
  <si>
    <t>Secuencial 4, binaria 1.</t>
  </si>
  <si>
    <t>CP-26-03</t>
  </si>
  <si>
    <t>Primera materia</t>
  </si>
  <si>
    <t>Opción 3 → CAL106</t>
  </si>
  <si>
    <t>Secuencial 1, binaria 3.</t>
  </si>
  <si>
    <t>La binaria no siempre gana con pocos datos.</t>
  </si>
  <si>
    <t>CP-26-04</t>
  </si>
  <si>
    <t>Última materia</t>
  </si>
  <si>
    <t>Opción 3 → PROG201</t>
  </si>
  <si>
    <t>Secuencial 7, binaria 3.</t>
  </si>
  <si>
    <t>CP-26-05</t>
  </si>
  <si>
    <t>Materia que no existe</t>
  </si>
  <si>
    <t>Opción 3 → ZZZ999</t>
  </si>
  <si>
    <t>'No se encontro la materia.' con secuencial 7 y binaria 3.</t>
  </si>
  <si>
    <t>CP-26-06</t>
  </si>
  <si>
    <t>Una sola materia en el archivo</t>
  </si>
  <si>
    <t>Dejar solo CAL106 → buscar CAL106 y luego MAT101</t>
  </si>
  <si>
    <t>Encuentra la primera con 1/1; la segunda: no encontrada con 1/1.</t>
  </si>
  <si>
    <t>CP-26-07</t>
  </si>
  <si>
    <t>Sin materias</t>
  </si>
  <si>
    <t>materias.txt vacío → opción 3 → MAT101</t>
  </si>
  <si>
    <t>'No se encontro la materia.' con secuencial 0 y binaria 0.</t>
  </si>
  <si>
    <t>CP-26-08</t>
  </si>
  <si>
    <t>Materia recién registrada</t>
  </si>
  <si>
    <t>Opción 2 (nueva materia) → opción 3 con el código generado</t>
  </si>
  <si>
    <t>La encuentra: el vector sigue ordenado por código.</t>
  </si>
  <si>
    <t>CP-26-09</t>
  </si>
  <si>
    <t>Archivo de materias desordenado</t>
  </si>
  <si>
    <t>Cambiar el orden de las líneas en materias.txt → iniciar → buscar MAT101</t>
  </si>
  <si>
    <t>La encuentra: main ordena por código con merge sort al arrancar.</t>
  </si>
  <si>
    <t>CP-26-10</t>
  </si>
  <si>
    <t>Código en minúscula o mezclado</t>
  </si>
  <si>
    <t>mat101, Mat101, mAt101</t>
  </si>
  <si>
    <t>'No se encontro la materia.' en todos.</t>
  </si>
  <si>
    <t>La búsqueda distingue mayúsculas.</t>
  </si>
  <si>
    <t>CP-26-11</t>
  </si>
  <si>
    <t>Espacios alrededor del código</t>
  </si>
  <si>
    <t>'   MAT101   '</t>
  </si>
  <si>
    <t>La encuentra (cin &gt;&gt; ignora los espacios).</t>
  </si>
  <si>
    <t>CP-26-12</t>
  </si>
  <si>
    <t>Espacio en medio del código</t>
  </si>
  <si>
    <t>'MAT 101'</t>
  </si>
  <si>
    <t>No encuentra 'MAT' y el '101' sobrante da 'Opcion invalida.' en el menú.</t>
  </si>
  <si>
    <t>CP-26-13</t>
  </si>
  <si>
    <t>Caracteres especiales y números sueltos</t>
  </si>
  <si>
    <t>'%$#', '0', '--', '1;2'</t>
  </si>
  <si>
    <t>'No se encontro la materia.' sin errores.</t>
  </si>
  <si>
    <t>CP-26-14</t>
  </si>
  <si>
    <t>Código muy largo</t>
  </si>
  <si>
    <t>Escribir 200 caracteres seguidos</t>
  </si>
  <si>
    <t>'No se encontro la materia.'; no se cae.</t>
  </si>
  <si>
    <t>CP-28-01</t>
  </si>
  <si>
    <t>Ver materias ordenadas</t>
  </si>
  <si>
    <t>Login profesor / prof123 → opción 1 → criterio 1 → algoritmo 2</t>
  </si>
  <si>
    <t>Lista las 7 materias por código y '(merge sort: N comparaciones)'.</t>
  </si>
  <si>
    <t>CP-28-02</t>
  </si>
  <si>
    <t>Prerrequisitos de una materia</t>
  </si>
  <si>
    <t>Opción 2 → FIS105</t>
  </si>
  <si>
    <t>FIS201 y, con más sangría, MAT101.</t>
  </si>
  <si>
    <t>CP-28-03</t>
  </si>
  <si>
    <t>Solicitudes de una materia</t>
  </si>
  <si>
    <t>Opción 3 → PROG102</t>
  </si>
  <si>
    <t>Muestra #2 y #3.</t>
  </si>
  <si>
    <t>CP-28-04</t>
  </si>
  <si>
    <t>Monitores y su materia</t>
  </si>
  <si>
    <t>Opción 4</t>
  </si>
  <si>
    <t>'Julian Hernandez | Materia: (sin asignar) | Horario: Lunes a Viernes 2pm-4pm'.</t>
  </si>
  <si>
    <t>CP-28-05</t>
  </si>
  <si>
    <t>Horario de una materia</t>
  </si>
  <si>
    <t>Opción 5 → MAT101</t>
  </si>
  <si>
    <t>Cuadrícula con [X] los lunes y miércoles de 7:00 a 9:00 AM, y bloques 'Lunes, 7:00 AM - 9:00 AM' y 'Miercoles, 7:00 AM - 9:00 AM'.</t>
  </si>
  <si>
    <t>CP-28-06</t>
  </si>
  <si>
    <t>Materia sin prerrequisitos</t>
  </si>
  <si>
    <t>Opción 2 → HUM301</t>
  </si>
  <si>
    <t>'No tiene prerrequisitos.'</t>
  </si>
  <si>
    <t>CP-28-07</t>
  </si>
  <si>
    <t>Cadena de tres niveles</t>
  </si>
  <si>
    <t>Opción 2 → CAL106</t>
  </si>
  <si>
    <t>FIS105 → FIS201 → MAT101 (cada nivel con más sangría) y también HUM301.</t>
  </si>
  <si>
    <t>CP-28-08</t>
  </si>
  <si>
    <t>Materia sin solicitudes</t>
  </si>
  <si>
    <t>'No hay solicitudes para esa materia.'</t>
  </si>
  <si>
    <t>CP-28-09</t>
  </si>
  <si>
    <t>Opción 3 → ZZZ999 · opción 5 → ZZZ999</t>
  </si>
  <si>
    <t>'La materia no existe.' en ambas.</t>
  </si>
  <si>
    <t>CP-28-10</t>
  </si>
  <si>
    <t>Prerrequisito que no existe</t>
  </si>
  <si>
    <t>Poner en materias.txt un prerrequisito XXX999 en una materia → opción 2 sobre esa materia</t>
  </si>
  <si>
    <t>Muestra '- XXX999 (no existe)' y no se cae.</t>
  </si>
  <si>
    <t>CP-28-11</t>
  </si>
  <si>
    <t>Prerrequisitos cíclicos</t>
  </si>
  <si>
    <t>Editar el archivo para que A requiera B y B requiera A → opción 2 sobre A</t>
  </si>
  <si>
    <t>La recursión se corta por el límite de nivel y termina; no hay bucle infinito.</t>
  </si>
  <si>
    <t>Los ciclos aún se aceptan en el registro; HU-16 los rechazará.</t>
  </si>
  <si>
    <t>CP-28-12</t>
  </si>
  <si>
    <t>Materia sin horario</t>
  </si>
  <si>
    <t>Opción 5 → HUM301</t>
  </si>
  <si>
    <t>'(sin horario asignado)' y 'Sin horario asignado.'</t>
  </si>
  <si>
    <t>CP-28-13</t>
  </si>
  <si>
    <t>Sin monitores</t>
  </si>
  <si>
    <t>Quitar la línea del monitor de usuarios.txt → opción 4</t>
  </si>
  <si>
    <t>'No hay monitores registrados.'</t>
  </si>
  <si>
    <t>CP-28-14</t>
  </si>
  <si>
    <t>Monitor con materia asignada</t>
  </si>
  <si>
    <t>Admin op 6 (monitor, MAT101) → profesor opción 4 en la misma sesión</t>
  </si>
  <si>
    <t>Muestra 'Materia: MAT101'.</t>
  </si>
  <si>
    <t>CP-28-15</t>
  </si>
  <si>
    <t>Código en minúscula, mayúsculas mezcladas</t>
  </si>
  <si>
    <t>Opción 2 → mat101 · opción 3 → Mat101</t>
  </si>
  <si>
    <t>CP-28-16</t>
  </si>
  <si>
    <t>Código con espacio</t>
  </si>
  <si>
    <t>Opción 3 → 'MAT 101'</t>
  </si>
  <si>
    <t>'La materia no existe.' y el '101' sobrante da 'Opcion invalida.'</t>
  </si>
  <si>
    <t>CP-28-17</t>
  </si>
  <si>
    <t>Menú con opciones fuera de rango o texto</t>
  </si>
  <si>
    <t>Escribir 6, -1, 8, abc, 99</t>
  </si>
  <si>
    <t>'Opcion invalida.' en todas.</t>
  </si>
  <si>
    <t>CP-28-18</t>
  </si>
  <si>
    <t>Profesor intenta opciones del administrador</t>
  </si>
  <si>
    <t>Escribir 8 (registrar usuario) y 11</t>
  </si>
  <si>
    <t>'Opcion invalida.'</t>
  </si>
  <si>
    <t>CP-28-19</t>
  </si>
  <si>
    <t>Ordenar con criterio/algoritmo inválidos</t>
  </si>
  <si>
    <t>Opción 1 → criterio 0, 4, 'x' → algoritmo 9, 0, 'y'</t>
  </si>
  <si>
    <t>Mensaje de entrada inválida y repite cada pregunta hasta recibir un valor válido.</t>
  </si>
  <si>
    <t>CP-28-20</t>
  </si>
  <si>
    <t>Opción pegada con texto</t>
  </si>
  <si>
    <t>Escribir 3abc</t>
  </si>
  <si>
    <t>Ejecuta la opción 3 pidiendo código; 'abc' se toma como código y responde 'La materia no existe.'</t>
  </si>
  <si>
    <t>CP-29-01</t>
  </si>
  <si>
    <t>Flujo completo: asignar y terminar</t>
  </si>
  <si>
    <t>Admin → op 6 (monitor, MAT101) → op 9 (monitor, 1) → cerrar sesión → login monitor → opción 4</t>
  </si>
  <si>
    <t>#1 pasa a Atendida, se muestra, y la franja del monitor queda libre.</t>
  </si>
  <si>
    <t>CP-29-02</t>
  </si>
  <si>
    <t>El estudiante ve el resultado</t>
  </si>
  <si>
    <t>Después del flujo anterior → login Tatiana → opción 4</t>
  </si>
  <si>
    <t>#1 aparece como Atendida.</t>
  </si>
  <si>
    <t>CP-29-03</t>
  </si>
  <si>
    <t>Persistencia del estado Atendida</t>
  </si>
  <si>
    <t>Después del flujo → salir (0, 0) → revisar solicitudes.txt</t>
  </si>
  <si>
    <t>La línea de #1 tiene el estado Atendida.</t>
  </si>
  <si>
    <t>CP-29-04</t>
  </si>
  <si>
    <t>Terminar sin tener asignación</t>
  </si>
  <si>
    <t>Login monitor → opción 4</t>
  </si>
  <si>
    <t>'No tienes ninguna solicitud asignada.'</t>
  </si>
  <si>
    <t>CP-29-05</t>
  </si>
  <si>
    <t>Terminar dos veces seguidas</t>
  </si>
  <si>
    <t>Terminar la solicitud → opción 4 de nuevo</t>
  </si>
  <si>
    <t>CP-29-06</t>
  </si>
  <si>
    <t>Recibir otra solicitud después de terminar</t>
  </si>
  <si>
    <t>Terminar #1 → Tatiana crea otra de MAT101 → admin op 9 con esa solicitud</t>
  </si>
  <si>
    <t>Se asigna sin problema porque la franja quedó libre.</t>
  </si>
  <si>
    <t>CP-29-07</t>
  </si>
  <si>
    <t>Asignar a un monitor ocupado</t>
  </si>
  <si>
    <t>Con #1 asignada, admin op 9 con otra solicitud de MAT101</t>
  </si>
  <si>
    <t>'El monitor ya tiene asignada la solicitud #1.'</t>
  </si>
  <si>
    <t>CP-29-08</t>
  </si>
  <si>
    <t>Solicitud de otra materia</t>
  </si>
  <si>
    <t>Monitor con MAT101 → admin op 9 con #4 (FIS105)</t>
  </si>
  <si>
    <t>'El monitor no atiende la materia FIS105.'</t>
  </si>
  <si>
    <t>CP-29-09</t>
  </si>
  <si>
    <t>Monitor sin materia asignada</t>
  </si>
  <si>
    <t>Sin hacer op 6 → admin op 9 (monitor, 1)</t>
  </si>
  <si>
    <t>'El monitor no atiende la materia MAT101.'</t>
  </si>
  <si>
    <t>CP-29-10</t>
  </si>
  <si>
    <t>Deshacer después de terminar</t>
  </si>
  <si>
    <t>Asignar #1 → monitor la termina → admin op 7</t>
  </si>
  <si>
    <t>'No se puede deshacer: la solicitud #1 ya no esta asignada (fue atendida).'</t>
  </si>
  <si>
    <t>El registro se descarta sin quedar en la bitácora (limitación de HU-10).</t>
  </si>
  <si>
    <t>CP-29-11</t>
  </si>
  <si>
    <t>Cerrar el programa con la solicitud asignada</t>
  </si>
  <si>
    <t>Asignar #1 → salir sin terminar → abrir → login monitor → opción 4</t>
  </si>
  <si>
    <t>'No tienes ninguna solicitud asignada.' y #1 volvió a Pendiente.</t>
  </si>
  <si>
    <t>CP-29-12</t>
  </si>
  <si>
    <t>El estudiante cancela una solicitud Asignada</t>
  </si>
  <si>
    <t>Con #1 asignada → Tatiana opción 5 → id 1</t>
  </si>
  <si>
    <t>CP-29-13</t>
  </si>
  <si>
    <t>Opción 4 repetida muchas veces</t>
  </si>
  <si>
    <t>Monitor sin asignación → escribir 4 cinco veces seguidas</t>
  </si>
  <si>
    <t>'No tienes ninguna solicitud asignada.' cada vez, sin errores.</t>
  </si>
  <si>
    <t>CP-29-14</t>
  </si>
  <si>
    <t>Username del monitor en mayúsculas o con espacios</t>
  </si>
  <si>
    <t>Admin op 9 → MONITOR · 'mon itor' · ' monitor '</t>
  </si>
  <si>
    <t>'MONITOR': 'Monitor no encontrado.'; 'mon itor': busca 'mon' y falla; ' monitor ' funciona.</t>
  </si>
  <si>
    <t>CP-29-15</t>
  </si>
  <si>
    <t>Ids inválidos al asignar</t>
  </si>
  <si>
    <t>Admin op 9 → monitor → id 0, -1, 'uno', 999</t>
  </si>
  <si>
    <t>0, -1 y 'uno': entrada inválida y repite; 999: 'La solicitud no existe.'</t>
  </si>
  <si>
    <t>CP-29-16</t>
  </si>
  <si>
    <t>Asignar una solicitud ya Atendida o Cancelada</t>
  </si>
  <si>
    <t>Admin op 9 → id 2 · id 3</t>
  </si>
  <si>
    <t>'Solo se pueden asignar solicitudes pendientes.'</t>
  </si>
  <si>
    <t>CP-29-17</t>
  </si>
  <si>
    <t>Monitor intenta opciones que no tiene</t>
  </si>
  <si>
    <t>Menú monitor → escribir 6, 7, 11, -1, 'abc'</t>
  </si>
  <si>
    <t>CP-29-18</t>
  </si>
  <si>
    <t>Login del monitor con mayúsculas alternadas</t>
  </si>
  <si>
    <t>MoNiToR / MoN123</t>
  </si>
  <si>
    <t>'Usuario o contrasena incorrectos.'</t>
  </si>
  <si>
    <t>Camino</t>
  </si>
  <si>
    <t>Tipo</t>
  </si>
  <si>
    <t>Flujo (paso a paso)</t>
  </si>
  <si>
    <t>Resultado</t>
  </si>
  <si>
    <t>A. Ver historial</t>
  </si>
  <si>
    <t>Principal</t>
  </si>
  <si>
    <t>Menú general → 1 Iniciar sesión → usuario y clave (Estudiante) → Menú estudiante → 4 → se filtran las solicitudes por código de estudiante → se muestran en orden de llegada → vuelve al menú</t>
  </si>
  <si>
    <t>Lista con materia, urgencia, estado y detalle</t>
  </si>
  <si>
    <t>B. Sin solicitudes</t>
  </si>
  <si>
    <t>Alternativo</t>
  </si>
  <si>
    <t>Menú estudiante → 4 → no hay coincidencias → mensaje</t>
  </si>
  <si>
    <t>'Aun no tienes solicitudes.'</t>
  </si>
  <si>
    <t>C. Crear y ver</t>
  </si>
  <si>
    <t>Menú estudiante → 3 → materia válida → urgencia 1-3 → descripción → solicitud creada → 4</t>
  </si>
  <si>
    <t>La nueva aparece al final</t>
  </si>
  <si>
    <t>D. Persistencia</t>
  </si>
  <si>
    <t>Opción 0 (cerrar sesión) → 0 (salir) → se guarda solicitudes.txt → iniciar de nuevo → carga → login → 4</t>
  </si>
  <si>
    <t>El historial se conserva</t>
  </si>
  <si>
    <t>E. Login inválido</t>
  </si>
  <si>
    <t>Error</t>
  </si>
  <si>
    <t>Menú general → 1 → credenciales incorrectas → mensaje de error → Menú general</t>
  </si>
  <si>
    <t>Sin acceso</t>
  </si>
  <si>
    <t>F. Opción inválida</t>
  </si>
  <si>
    <t>Menú estudiante → número fuera de rango o texto → 'Opcion invalida.' → Menú estudiante</t>
  </si>
  <si>
    <t>Sin cambios</t>
  </si>
  <si>
    <t>G. Materia inexistente</t>
  </si>
  <si>
    <t>Menú estudiante → 3 → código que no existe → 'La materia no existe.' → Menú estudiante</t>
  </si>
  <si>
    <t>No se crea la solicitud</t>
  </si>
  <si>
    <t>A. Ver cola</t>
  </si>
  <si>
    <t>Menú general → 1 Iniciar sesión → usuario y clave (Monitor) → Menú monitor → 2 → recorre la cola → muestra cada solicitud en orden de atención</t>
  </si>
  <si>
    <t>Cola ordenada</t>
  </si>
  <si>
    <t>B. Atender siguiente</t>
  </si>
  <si>
    <t>Menú monitor → 3 → hay frente → se desencola → estado Atendida → se muestra</t>
  </si>
  <si>
    <t>Solicitud atendida</t>
  </si>
  <si>
    <t>C. Cola vacía</t>
  </si>
  <si>
    <t>Menú monitor → 2 o 3 → cola vacía → mensaje</t>
  </si>
  <si>
    <t>D. Cancelación</t>
  </si>
  <si>
    <t>Estudiante → 5 → id propio pendiente → estado Cancelada → se elimina de la cola</t>
  </si>
  <si>
    <t>La cola ya no la incluye</t>
  </si>
  <si>
    <t>E. Creación</t>
  </si>
  <si>
    <t>Estudiante → 3 → solicitud Pendiente → se encola según prioridad</t>
  </si>
  <si>
    <t>Aparece en la posición correspondiente</t>
  </si>
  <si>
    <t>F. Reinicio</t>
  </si>
  <si>
    <t>Cerrar → se guardan solicitudes → abrir → main reconstruye la cola con los Pendientes (los Asignados vuelven a Pendiente)</t>
  </si>
  <si>
    <t>Cola reconstruida</t>
  </si>
  <si>
    <t>G. Opción inválida</t>
  </si>
  <si>
    <t>Menú monitor → entrada no válida → 'Opcion invalida.' → Menú monitor</t>
  </si>
  <si>
    <t>A. Insertar por prioridad</t>
  </si>
  <si>
    <t>Nueva solicitud → encolar(id, urgencia) → recorre la cola mientras la urgencia sea mayor, o igual con id menor → inserta</t>
  </si>
  <si>
    <t>Cola ordenada por urgencia y antigüedad</t>
  </si>
  <si>
    <t>B. Re-encolado</t>
  </si>
  <si>
    <t>Admin 7 deshacer → solicitud vuelve a Pendiente → encolar con su id original</t>
  </si>
  <si>
    <t>Recupera su lugar por antigüedad</t>
  </si>
  <si>
    <t>C. Criterios por grafo (pendiente)</t>
  </si>
  <si>
    <t>Prerrequisitos como grafo → riesgo académico → peso en la prioridad → encolar</t>
  </si>
  <si>
    <t>Aún no implementado</t>
  </si>
  <si>
    <t>D. Urgencia inválida</t>
  </si>
  <si>
    <t>Estudiante → 3 → urgencia fuera de 1-3 → mensaje → repite</t>
  </si>
  <si>
    <t>No se crea</t>
  </si>
  <si>
    <t>A. Ordenar por urgencia</t>
  </si>
  <si>
    <t>Menú general → 1 Iniciar sesión → usuario y clave (Administrador) → 11 → criterio 1 → copia del vector → merge sort recursivo → muestra → cuenta comparaciones</t>
  </si>
  <si>
    <t>Mayor urgencia primero y comparaciones</t>
  </si>
  <si>
    <t>Admin → 11 → vector vacío → mensaje</t>
  </si>
  <si>
    <t>C. Empate de urgencia</t>
  </si>
  <si>
    <t>Merge sort → misma urgencia → desempata por id</t>
  </si>
  <si>
    <t>La más antigua primero</t>
  </si>
  <si>
    <t>D. Verificar original</t>
  </si>
  <si>
    <t>Después de ordenar → admin 5</t>
  </si>
  <si>
    <t>Orden de llegada intacto</t>
  </si>
  <si>
    <t>E. Criterio inválido</t>
  </si>
  <si>
    <t>Admin → 11 → criterio fuera de 1-3 o texto → mensaje → repite</t>
  </si>
  <si>
    <t>No ordena hasta recibir un valor válido</t>
  </si>
  <si>
    <t>A. Ordenar por antigüedad</t>
  </si>
  <si>
    <t>Menú general → 1 Iniciar sesión → usuario y clave (Monitor o Administrador) → monitor 5 / admin 11 → criterio 2 → copia → merge sort por id → muestra → comparaciones</t>
  </si>
  <si>
    <t>Más antiguas primero</t>
  </si>
  <si>
    <t>Opción de ordenar → vector vacío → mensaje</t>
  </si>
  <si>
    <t>C. Una solicitud</t>
  </si>
  <si>
    <t>Opción de ordenar → un elemento → sin comparaciones</t>
  </si>
  <si>
    <t>Muestra la única con 0 comparaciones</t>
  </si>
  <si>
    <t>D. Criterio inválido</t>
  </si>
  <si>
    <t>Criterio fuera de rango o texto → mensaje → repite</t>
  </si>
  <si>
    <t>Sin ordenar</t>
  </si>
  <si>
    <t>A. Agrupar por materia</t>
  </si>
  <si>
    <t>Menú general → 1 Iniciar sesión → usuario y clave (Monitor o Administrador) → opción de ordenar → criterio 3 → copia → merge sort por código de materia y luego por id → muestra</t>
  </si>
  <si>
    <t>Agrupadas por materia, más antigua primero</t>
  </si>
  <si>
    <t>B. Misma materia</t>
  </si>
  <si>
    <t>Todas con la misma materia → comparan por id</t>
  </si>
  <si>
    <t>Orden de llegada</t>
  </si>
  <si>
    <t>C. Sin solicitudes</t>
  </si>
  <si>
    <t>Vector vacío → mensaje</t>
  </si>
  <si>
    <t>A. Cancelar pendiente propia</t>
  </si>
  <si>
    <t>Menú general → 1 Iniciar sesión → usuario y clave (Estudiante) → 5 → id válido → se busca la solicitud → es propia y Pendiente → estado Cancelada → se elimina de la cola → mensaje</t>
  </si>
  <si>
    <t>Cancelada, sigue en el historial</t>
  </si>
  <si>
    <t>B. No es pendiente</t>
  </si>
  <si>
    <t>5 → id propio con estado Atendida, Cancelada o Asignada → mensaje</t>
  </si>
  <si>
    <t>C. No es del estudiante o no existe</t>
  </si>
  <si>
    <t>5 → id de otro estudiante o inexistente → mensaje</t>
  </si>
  <si>
    <t>D. Id inválido</t>
  </si>
  <si>
    <t>5 → número fuera de rango o texto → 'Entrada invalida...' → repite</t>
  </si>
  <si>
    <t>No cancela nada</t>
  </si>
  <si>
    <t>E. Persistencia</t>
  </si>
  <si>
    <t>Cancelar → salir → se guarda → abrir → la solicitud sigue Cancelada y no entra a la cola</t>
  </si>
  <si>
    <t>Cambio conservado</t>
  </si>
  <si>
    <t>A. Buscar materia existente</t>
  </si>
  <si>
    <t>Menú general → 1 Iniciar sesión → usuario y clave (Administrador) → 3 → código → búsqueda secuencial (cuenta) → búsqueda binaria (cuenta) → muestra la materia y ambas cuentas</t>
  </si>
  <si>
    <t>Materia y comparaciones de cada método</t>
  </si>
  <si>
    <t>B. No existe</t>
  </si>
  <si>
    <t>Admin → 3 → código inexistente → ambas búsquedas devuelven -1 → 'No se encontro la materia.' y cuentas</t>
  </si>
  <si>
    <t>Mensaje y comparaciones</t>
  </si>
  <si>
    <t>C. Vector ordenado</t>
  </si>
  <si>
    <t>Inicio → main ordena por código → la binaria puede aplicarse; al registrar materia → inserción mantiene el orden</t>
  </si>
  <si>
    <t>Búsqueda binaria válida</t>
  </si>
  <si>
    <t>D. Código mal escrito</t>
  </si>
  <si>
    <t>Minúsculas, espacio en medio u otros → no coincide → mensaje; sobrantes del buffer pueden dar 'Opcion invalida.'</t>
  </si>
  <si>
    <t>No encontrada</t>
  </si>
  <si>
    <t>A. Menú profesor</t>
  </si>
  <si>
    <t>Menú general → 1 Iniciar sesión → usuario y clave (Profesor) → Menú profesor → opciones 1 a 5</t>
  </si>
  <si>
    <t>Consultas de solo lectura</t>
  </si>
  <si>
    <t>B. Ver materias</t>
  </si>
  <si>
    <t>1 → criterio → algoritmo → copia ordenada → lista</t>
  </si>
  <si>
    <t>Materias con comparaciones</t>
  </si>
  <si>
    <t>C. Ver prerrequisitos</t>
  </si>
  <si>
    <t>2 → código → existe → recursión por niveles → muestra; sin prerrequisitos: mensaje; inexistente: mensaje</t>
  </si>
  <si>
    <t>Cadena con sangría</t>
  </si>
  <si>
    <t>D. Ver solicitudes de una materia</t>
  </si>
  <si>
    <t>3 → código → existe → filtra solicitudes por materia → muestra; sin ninguna: mensaje</t>
  </si>
  <si>
    <t>Solicitudes de la materia</t>
  </si>
  <si>
    <t>E. Ver monitores</t>
  </si>
  <si>
    <t>4 → recorre usuarios → monitores con materia y horario; si no hay: mensaje</t>
  </si>
  <si>
    <t>Lista de monitores</t>
  </si>
  <si>
    <t>F. Ver horario</t>
  </si>
  <si>
    <t>5 → código → cuadrícula + bloques; sin horario: mensaje</t>
  </si>
  <si>
    <t>Horario de la materia</t>
  </si>
  <si>
    <t>G. Opción o código inválido</t>
  </si>
  <si>
    <t>Opción fuera de rango, texto o código inexistente → mensaje → Menú profesor</t>
  </si>
  <si>
    <t>A. Asignar y terminar</t>
  </si>
  <si>
    <t>Admin 6 asigna materia → admin 9 asigna solicitud (pendiente, misma materia, monitor libre) → login monitor → 4 → solicitud Atendida → franja libre</t>
  </si>
  <si>
    <t>B. Sin asignación</t>
  </si>
  <si>
    <t>Monitor → 4 → solicitudActual = 0 → mensaje</t>
  </si>
  <si>
    <t>C. Recibir otra</t>
  </si>
  <si>
    <t>Después de terminar → admin 9 con otra solicitud de la materia → monitor 4</t>
  </si>
  <si>
    <t>Atiende la siguiente</t>
  </si>
  <si>
    <t>D. Deshacer</t>
  </si>
  <si>
    <t>Admin 7 → si la solicitud sigue Asignada: vuelve a Pendiente y a la cola; si ya fue atendida: mensaje y se descarta de la pila</t>
  </si>
  <si>
    <t>Reversión o aviso</t>
  </si>
  <si>
    <t>E. Asignación rechazada</t>
  </si>
  <si>
    <t>Admin 9 → solicitud inexistente, no pendiente, otra materia o monitor ocupado → mensaje</t>
  </si>
  <si>
    <t>No se asigna</t>
  </si>
  <si>
    <t>F. Cierre con asignación</t>
  </si>
  <si>
    <t>Salir sin terminar → se guarda 'Asignada' → al abrir pasa a Pendiente y vuelve a la cola</t>
  </si>
  <si>
    <t>No se pierde la solicitud</t>
  </si>
  <si>
    <t>Login con mayúsculas minúsculas alternadas y espacios</t>
  </si>
  <si>
    <t>La materia no existe.' y no se crea nada, en urgencia muestra 'Entrada invalida. Ingrese un numero entre 1 y 3.' y repite la pregunta. El historial no cambia.</t>
  </si>
  <si>
    <t>El programa muestra correctamente las solicitudes #1 (MAT101, Media, Pendiente), #2 (PROG102, Alta, Atendida), #3 (PROG102, Media, Cancelada) y #4 (FIS105, Media, Pendiente) en orden cronológico con todos sus detalles</t>
  </si>
  <si>
    <t>• Estado tiene una lista desplegable con las condiciones de Pendiente / Pasó / Falló. La hoja 'Resumen' se actualiza sola dependiendo el esatdo de estas y con un porcentaje para saber exactamente que tan completo esta nuestro HU</t>
  </si>
  <si>
    <t>Composición del Excel</t>
  </si>
  <si>
    <t>• Hoja 'Casos de prueba': La hoja de casos de prueba se compone de 8 filas en las cuales se evaluan principalmente, ¿Qué se quiere probar?, Pasos para probar el caso, el resultado que se espera obtener, el resultado que se obtuvo, su estado y en caso de no cumplirse una observación</t>
  </si>
  <si>
    <t>• Hoja 'Flujos': Esta cuenta con distintas caminos que el usuario podria probar, clasificadas como en tres: camino principal, alternativos (Otras opciones que se despliegan del camino principal) y de error (En el caso de que el usuario pruebe o ingrese datos que el sistema no corresponde) en cada uno de los distintos HU.</t>
  </si>
  <si>
    <t>• HU-06, 07, 11, 12, 13, 22, 26, 28 y 29: validadas</t>
  </si>
  <si>
    <r>
      <t xml:space="preserve">Descripción: </t>
    </r>
    <r>
      <rPr>
        <sz val="11"/>
        <rFont val="Arial"/>
        <family val="2"/>
      </rPr>
      <t>En este excel se prueban las Historias de Usuario codificadas por mi autoria es decir Julian Hernández y en algunos casos complementandando historias de usuario de mi compañero Santiago Arteaga, probandose un total de 9 HU, de las 15 HU implementadas hasta la fecha de este segundo semestre.</t>
    </r>
  </si>
  <si>
    <r>
      <t xml:space="preserve">• </t>
    </r>
    <r>
      <rPr>
        <sz val="11"/>
        <rFont val="Arial"/>
        <family val="2"/>
      </rPr>
      <t>"</t>
    </r>
    <r>
      <rPr>
        <b/>
        <sz val="11"/>
        <rFont val="Arial"/>
        <family val="2"/>
      </rPr>
      <t xml:space="preserve"> →</t>
    </r>
    <r>
      <rPr>
        <sz val="11"/>
        <rFont val="Arial"/>
        <family val="2"/>
      </rPr>
      <t>"</t>
    </r>
    <r>
      <rPr>
        <b/>
        <sz val="11"/>
        <rFont val="Arial"/>
        <family val="2"/>
      </rPr>
      <t xml:space="preserve"> </t>
    </r>
    <r>
      <rPr>
        <sz val="11"/>
        <rFont val="Arial"/>
        <family val="2"/>
      </rPr>
      <t>El orden de pasos a seguir</t>
    </r>
  </si>
  <si>
    <t>N/A</t>
  </si>
  <si>
    <t>La solicitud #5 se genera correctamente con la materia PROG201, urgencia 2 ycon la descripción de 'Ayuda con recursion'. Al consultar con la opción 4 y tras volver a iniciar sesión, la solicitud #5 se mantiene al final del historial con estado Pendiente</t>
  </si>
  <si>
    <t>El sistema muestra el mensaje indicando que no hay solicitudes registradas para este usuario y se devuelve al menú principal del estudiante</t>
  </si>
  <si>
    <t>Se comprueba el aislamiento de las solicitudes. Juan visualiza únicamente su solicitud recién creada, mientras que al ingresar nuevamente con el usuario Tatiana, el historial de esta estudiante permanece sin alteraciones y sin mostrar la solicitud creada por Juan</t>
  </si>
  <si>
    <t>Crear una solicitud con 'Dudas, ayudaaaaaaaaaa, por favor' y otra con 300 caracteres → salir (guarda) → reabrir → opción 4</t>
  </si>
  <si>
    <t>Ambas solicitudes se despliegan completas en la terminal. Las comas en la descripción 'Dudas, ayudaaaaaaaaaa, por favor' no dividen ni alteran el formato del registro, y la descripción de 300 caracteres se muestra correctamente.</t>
  </si>
  <si>
    <t>Al modificar manualmente el orden de las líneas en el archivo "solicitues.txt"  a '3, 1, 4, 2', el sistema despliega el historial del estudiante siguiendo exactamente dicho orden secuencial, sin alterar un orden por ID</t>
  </si>
  <si>
    <t>Al asignar la solicitud #1 al monitor 'monitor' en MAT101 y posteriormente revertir la asignación desde el rol Administrador, la solicitud #1 regresa correctamente al estado 'Pendiente'. Al consultar el historial del estudiante (opción 4), las 4 solicitudes se conservan, en el mismo orden cronológico y sin perder ningún registro.</t>
  </si>
  <si>
    <t>Al ingresar cada una de las opciones no válidas ('abc', 'cuatro', '-4', '44', '99'), el sistema despliega el mensaje 'Opcion invalida.' y vuelve a mostrar el menú de estudiante</t>
  </si>
  <si>
    <t>Al ingresar '4.0', el sistema ejecuta la opción 4 y despliega el historial. El residuo '.0' genera el mensaje 'Opcion invalida.' una sola vez en el menú posterior y el programa retoma el flujo normal inmediatamente</t>
  </si>
  <si>
    <t>Al intentar iniciar sesión con credenciales alteradas ('ESTUDIANTE', 'ESTU123', 'EsTuDiaNTe' o con espacios), el sistema rechaza el acceso mostrando el mensaje de error y evitando el ingreso.</t>
  </si>
  <si>
    <t>Al ingresar la materia en minúsculas ('mat101'), el sistema despliega 'La materia no existe.' y retorna al menú. Ante valores de urgencia no válidos (0, 4, 'alta', 'hola?'), el programa captura la excepción, muestra 'Entrada invalida. Ingrese un numero entre 1 y 3.' y vuelve a solicitar el dato sin cerrarse ni registrar información errónea.</t>
  </si>
  <si>
    <t>Al ingresar a la opción 2 del menú de monitor, el sistema despliega la cola de pendientes ordenada correctamente según su prioridad de urgencia y criterio de antigüedad, mostrando primero la Solicitud #1, luego la #4 y posteriormente la #5, todas en estado pendiente.</t>
  </si>
  <si>
    <t>Al seleccionar la opción 3 ('Atender siguiente solicitud'), el sistema toma la solicitud de mayor prioridad en la cola (Solicitud #1), actualiza su estado a 'Atendida' y muestra en pantalla los detalles de la solicitud</t>
  </si>
  <si>
    <t>Se verifica la correcta extracción del nodo cabeza de la cola de prioridad y la transición de estado en tiempo de ejecución.</t>
  </si>
  <si>
    <t>Al atender todas las solicitudes y ejecutar nuevamente la opción 3 o consultar la cola con la opción 2, el programa muestra 'No hay solicitudes pendientes.' en ambas opciones, gestionando el estado de cola vacía sin bloquearse ni lanzar excepciones</t>
  </si>
  <si>
    <t>Tras forzar el cierre de la terminal con una solicitud asignada, al reabrir el sistema e ingresar como Monitor, la opción 2 confirma que la solicitud retorna automáticamente al estado 'Pendiente' y se repositiona en la cola de atención manteniendo el orden de prioridad.</t>
  </si>
  <si>
    <t>Se verifico la consistencia del estado de las solicitudes y la resiliencia de la cola de prioridad ante cierres abruptos o interrupciones del programa</t>
  </si>
  <si>
    <t>Se valido el manejo seguro de estructuras de datos vacía</t>
  </si>
  <si>
    <t>Al ingresar números fuera de rango (como opciones negativas o mayores al límite del menú), el sistema responde indicando que la opción es inválida y vuelve a mostrar el menú del monitor.</t>
  </si>
  <si>
    <t>Al ingresar '3abc', el programa procesa el primer dígito ('3') como la opción del menú, ejecutando la acción correspondiente, y los caracteres sobrantes ('abc') se consumen de manera controlada en el siguiente ciclo arrojando 'Opcion invalida.' sin generar bucles infinitos ni bloqueos en la terminal</t>
  </si>
  <si>
    <t>.</t>
  </si>
  <si>
    <t>Al ejecutar la opción 5 y ordenar por urgencia (opción 1), el sistema muestra las solicitudes en el orden correcto (#2, #1, #3, #4) utilizando Merge Sort e indicando un total de 5 comparaciones.</t>
  </si>
  <si>
    <t>n/a</t>
  </si>
  <si>
    <t>Tras ejecutar la vista ordenada con Merge Sort (opción 5), al consultar nuevamente todas las solicitudes (opción 1), los datos se muestran en su orden de almacenamiento original, confirmando que la estructura base no sufre modificaciones permanentes</t>
  </si>
  <si>
    <t>El caso CP-11-02 necesitaba del anterior, pero como los dos pasaron las pruebas se valida la inmutabilidad de la estructura de datos frente a las vistas de ordenamiento temporales</t>
  </si>
  <si>
    <t>Al intentar ordenar solicitudes con la lista completamente vacía (solicitudes.txt limpio), el sistema maneja la condición de borde de manera controlada mostrando el mensaje 'No hay solicitudes registradas.' sin errores de ejecución.</t>
  </si>
  <si>
    <t>Se valida el algoritmo merge sort frente a conjuntos de datos vacíos.</t>
  </si>
  <si>
    <t>Al ordenar un conjunto de solicitudes que comparten exactamente la misma urgencia, el Merge Sort mantiene la estabilidad de la estructura mostrando las solicitudes en su orden original por ID (#1, #2, #3, #4) y reporta 4 comparaciones</t>
  </si>
  <si>
    <t>Se verifico algoritmo merge sort ante claves de ordenamiento idénticas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</si>
</sst>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3"/>
      <name val="Arial"/>
      <charset val="1"/>
    </font>
    <font>
      <sz val="11"/>
      <name val="Arial"/>
      <charset val="1"/>
    </font>
    <font>
      <b/>
      <sz val="11"/>
      <name val="Arial"/>
      <charset val="1"/>
    </font>
    <font>
      <i/>
      <sz val="11"/>
      <color rgb="FF0000FF"/>
      <name val="Arial"/>
      <charset val="1"/>
    </font>
    <font>
      <b/>
      <sz val="11"/>
      <color rgb="FFFFFFFF"/>
      <name val="Arial"/>
      <charset val="1"/>
    </font>
    <font>
      <i/>
      <sz val="10"/>
      <name val="Arial"/>
      <charset val="1"/>
    </font>
    <font>
      <sz val="10"/>
      <name val="Arial"/>
      <charset val="1"/>
    </font>
    <font>
      <sz val="10"/>
      <name val="Arial"/>
      <family val="2"/>
    </font>
    <font>
      <b/>
      <sz val="11"/>
      <color rgb="FFFFFFFF"/>
      <name val="Arial"/>
      <family val="2"/>
    </font>
    <font>
      <b/>
      <sz val="11"/>
      <name val="Arial"/>
      <family val="2"/>
    </font>
    <font>
      <sz val="11"/>
      <name val="Arial"/>
      <family val="2"/>
    </font>
  </fonts>
  <fills count="11">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E2EFDA"/>
        <bgColor rgb="FFDDEBF7"/>
      </patternFill>
    </fill>
    <fill>
      <patternFill patternType="solid">
        <fgColor rgb="FFFCE4D6"/>
        <bgColor rgb="FFFFF2CC"/>
      </patternFill>
    </fill>
    <fill>
      <patternFill patternType="solid">
        <fgColor rgb="FFF8CBAD"/>
        <bgColor rgb="FFFFE699"/>
      </patternFill>
    </fill>
    <fill>
      <patternFill patternType="solid">
        <fgColor rgb="FFDDEBF7"/>
        <bgColor rgb="FFE2EFDA"/>
      </patternFill>
    </fill>
    <fill>
      <patternFill patternType="solid">
        <fgColor rgb="FFFFE699"/>
        <bgColor rgb="FFFFF2CC"/>
      </patternFill>
    </fill>
    <fill>
      <patternFill patternType="solid">
        <fgColor rgb="FF92D050"/>
        <bgColor rgb="FFFCE4D6"/>
      </patternFill>
    </fill>
    <fill>
      <patternFill patternType="solid">
        <fgColor theme="0"/>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5" fillId="3" borderId="1" xfId="0" applyFont="1" applyFill="1" applyBorder="1" applyAlignment="1">
      <alignment horizontal="center" vertical="center" wrapText="1"/>
    </xf>
    <xf numFmtId="0" fontId="2" fillId="0" borderId="1" xfId="0" applyFont="1" applyBorder="1" applyAlignment="1">
      <alignment horizontal="center"/>
    </xf>
    <xf numFmtId="9" fontId="2" fillId="0" borderId="1" xfId="0" applyNumberFormat="1" applyFont="1" applyBorder="1" applyAlignment="1">
      <alignment horizontal="center"/>
    </xf>
    <xf numFmtId="0" fontId="3" fillId="0" borderId="1" xfId="0" applyFont="1" applyBorder="1" applyAlignment="1">
      <alignment horizontal="center"/>
    </xf>
    <xf numFmtId="9" fontId="3" fillId="0" borderId="1" xfId="0" applyNumberFormat="1" applyFont="1" applyBorder="1" applyAlignment="1">
      <alignment horizontal="center"/>
    </xf>
    <xf numFmtId="0" fontId="6" fillId="0" borderId="0" xfId="0" applyFont="1"/>
    <xf numFmtId="0" fontId="7" fillId="0" borderId="1" xfId="0" applyFont="1" applyBorder="1" applyAlignment="1">
      <alignment horizontal="center" vertical="top" wrapText="1"/>
    </xf>
    <xf numFmtId="0" fontId="7" fillId="4" borderId="1" xfId="0" applyFont="1" applyFill="1" applyBorder="1" applyAlignment="1">
      <alignment horizontal="center" vertical="top" wrapText="1"/>
    </xf>
    <xf numFmtId="0" fontId="7" fillId="0" borderId="1" xfId="0" applyFont="1" applyBorder="1" applyAlignment="1">
      <alignment horizontal="left" vertical="top" wrapText="1"/>
    </xf>
    <xf numFmtId="0" fontId="7" fillId="2"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7" fillId="0" borderId="1" xfId="0" quotePrefix="1" applyFont="1" applyBorder="1" applyAlignment="1">
      <alignment horizontal="left" vertical="top" wrapText="1"/>
    </xf>
    <xf numFmtId="0" fontId="7" fillId="9" borderId="1" xfId="0" applyFont="1" applyFill="1" applyBorder="1" applyAlignment="1">
      <alignment horizontal="center" vertical="top" wrapText="1"/>
    </xf>
    <xf numFmtId="0" fontId="8" fillId="0" borderId="1" xfId="0" applyFont="1" applyBorder="1" applyAlignment="1">
      <alignment horizontal="left" vertical="top" wrapText="1"/>
    </xf>
    <xf numFmtId="0" fontId="9" fillId="3" borderId="1" xfId="0" applyFont="1" applyFill="1" applyBorder="1" applyAlignment="1">
      <alignment horizontal="center" vertical="center" wrapText="1"/>
    </xf>
    <xf numFmtId="0" fontId="8" fillId="0" borderId="1" xfId="0" applyFont="1" applyBorder="1" applyAlignment="1">
      <alignment horizontal="center" vertical="top" wrapText="1"/>
    </xf>
    <xf numFmtId="0" fontId="8" fillId="4"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10" fillId="0" borderId="0" xfId="0" applyFont="1" applyAlignment="1">
      <alignment vertical="top" wrapText="1"/>
    </xf>
    <xf numFmtId="0" fontId="11" fillId="0" borderId="0" xfId="0" applyFont="1" applyAlignment="1">
      <alignment vertical="top" wrapText="1"/>
    </xf>
    <xf numFmtId="0" fontId="4" fillId="10" borderId="0" xfId="0" applyFont="1" applyFill="1" applyAlignment="1">
      <alignment wrapText="1"/>
    </xf>
    <xf numFmtId="0" fontId="8" fillId="10"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topLeftCell="A3" zoomScaleNormal="100" workbookViewId="0">
      <selection activeCell="A6" sqref="A6"/>
    </sheetView>
  </sheetViews>
  <sheetFormatPr baseColWidth="10" defaultColWidth="8.6640625" defaultRowHeight="14.4" x14ac:dyDescent="0.3"/>
  <cols>
    <col min="1" max="1" width="149.88671875" customWidth="1"/>
  </cols>
  <sheetData>
    <row r="1" spans="1:1" ht="16.8" x14ac:dyDescent="0.3">
      <c r="A1" s="1" t="s">
        <v>0</v>
      </c>
    </row>
    <row r="2" spans="1:1" x14ac:dyDescent="0.3">
      <c r="A2" s="2"/>
    </row>
    <row r="3" spans="1:1" x14ac:dyDescent="0.3">
      <c r="A3" s="27" t="s">
        <v>717</v>
      </c>
    </row>
    <row r="4" spans="1:1" ht="27.6" x14ac:dyDescent="0.3">
      <c r="A4" s="27" t="s">
        <v>721</v>
      </c>
    </row>
    <row r="5" spans="1:1" ht="27.6" x14ac:dyDescent="0.3">
      <c r="A5" s="28" t="s">
        <v>718</v>
      </c>
    </row>
    <row r="6" spans="1:1" ht="27.6" x14ac:dyDescent="0.3">
      <c r="A6" s="28" t="s">
        <v>716</v>
      </c>
    </row>
    <row r="7" spans="1:1" x14ac:dyDescent="0.3">
      <c r="A7" s="2" t="s">
        <v>1</v>
      </c>
    </row>
    <row r="8" spans="1:1" ht="27.6" x14ac:dyDescent="0.3">
      <c r="A8" s="28" t="s">
        <v>719</v>
      </c>
    </row>
    <row r="9" spans="1:1" x14ac:dyDescent="0.3">
      <c r="A9" s="2"/>
    </row>
    <row r="10" spans="1:1" x14ac:dyDescent="0.3">
      <c r="A10" s="2"/>
    </row>
    <row r="11" spans="1:1" x14ac:dyDescent="0.3">
      <c r="A11" s="27" t="s">
        <v>2</v>
      </c>
    </row>
    <row r="12" spans="1:1" x14ac:dyDescent="0.3">
      <c r="A12" s="27" t="s">
        <v>722</v>
      </c>
    </row>
    <row r="13" spans="1:1" x14ac:dyDescent="0.3">
      <c r="A13" s="28" t="s">
        <v>3</v>
      </c>
    </row>
    <row r="14" spans="1:1" x14ac:dyDescent="0.3">
      <c r="A14" s="2" t="s">
        <v>4</v>
      </c>
    </row>
    <row r="15" spans="1:1" x14ac:dyDescent="0.3">
      <c r="A15" s="2" t="s">
        <v>5</v>
      </c>
    </row>
    <row r="16" spans="1:1" x14ac:dyDescent="0.3">
      <c r="A16" s="2" t="s">
        <v>6</v>
      </c>
    </row>
    <row r="17" spans="1:1" x14ac:dyDescent="0.3">
      <c r="A17" s="2"/>
    </row>
    <row r="18" spans="1:1" x14ac:dyDescent="0.3">
      <c r="A18" s="3" t="s">
        <v>7</v>
      </c>
    </row>
    <row r="19" spans="1:1" x14ac:dyDescent="0.3">
      <c r="A19" s="28" t="s">
        <v>720</v>
      </c>
    </row>
    <row r="20" spans="1:1" x14ac:dyDescent="0.3">
      <c r="A20" s="2"/>
    </row>
    <row r="21" spans="1:1" x14ac:dyDescent="0.3">
      <c r="A21" s="3"/>
    </row>
    <row r="22" spans="1:1" x14ac:dyDescent="0.3">
      <c r="A22" s="29"/>
    </row>
    <row r="24" spans="1:1" x14ac:dyDescent="0.3">
      <c r="A24" s="4"/>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5"/>
  <sheetViews>
    <sheetView zoomScale="43" zoomScaleNormal="100" workbookViewId="0">
      <selection activeCell="F40" sqref="F40"/>
    </sheetView>
  </sheetViews>
  <sheetFormatPr baseColWidth="10" defaultColWidth="8.6640625" defaultRowHeight="14.4" x14ac:dyDescent="0.3"/>
  <cols>
    <col min="1" max="1" width="11" customWidth="1"/>
    <col min="2" max="2" width="8" customWidth="1"/>
    <col min="3" max="3" width="11" customWidth="1"/>
    <col min="4" max="4" width="38" customWidth="1"/>
    <col min="5" max="5" width="52" customWidth="1"/>
    <col min="6" max="6" width="95.33203125" customWidth="1"/>
    <col min="7" max="7" width="40" customWidth="1"/>
    <col min="8" max="8" width="12" customWidth="1"/>
    <col min="9" max="9" width="45" customWidth="1"/>
  </cols>
  <sheetData>
    <row r="1" spans="1:9" ht="31.5" customHeight="1" x14ac:dyDescent="0.3">
      <c r="A1" s="22" t="s">
        <v>29</v>
      </c>
      <c r="B1" s="5" t="s">
        <v>8</v>
      </c>
      <c r="C1" s="5" t="s">
        <v>30</v>
      </c>
      <c r="D1" s="5" t="s">
        <v>31</v>
      </c>
      <c r="E1" s="5" t="s">
        <v>32</v>
      </c>
      <c r="F1" s="22" t="s">
        <v>33</v>
      </c>
      <c r="G1" s="5" t="s">
        <v>34</v>
      </c>
      <c r="H1" s="5" t="s">
        <v>35</v>
      </c>
      <c r="I1" s="5" t="s">
        <v>36</v>
      </c>
    </row>
    <row r="2" spans="1:9" ht="79.2" x14ac:dyDescent="0.3">
      <c r="A2" s="11" t="s">
        <v>37</v>
      </c>
      <c r="B2" s="11" t="s">
        <v>15</v>
      </c>
      <c r="C2" s="12" t="s">
        <v>38</v>
      </c>
      <c r="D2" s="21" t="s">
        <v>39</v>
      </c>
      <c r="E2" s="21" t="s">
        <v>40</v>
      </c>
      <c r="F2" s="21" t="s">
        <v>41</v>
      </c>
      <c r="G2" s="30" t="s">
        <v>715</v>
      </c>
      <c r="H2" s="20" t="s">
        <v>11</v>
      </c>
      <c r="I2" s="21" t="s">
        <v>723</v>
      </c>
    </row>
    <row r="3" spans="1:9" ht="79.2" x14ac:dyDescent="0.3">
      <c r="A3" s="23" t="s">
        <v>42</v>
      </c>
      <c r="B3" s="23" t="s">
        <v>15</v>
      </c>
      <c r="C3" s="24" t="s">
        <v>38</v>
      </c>
      <c r="D3" s="21" t="s">
        <v>43</v>
      </c>
      <c r="E3" s="21" t="s">
        <v>44</v>
      </c>
      <c r="F3" s="21" t="s">
        <v>45</v>
      </c>
      <c r="G3" s="30" t="s">
        <v>724</v>
      </c>
      <c r="H3" s="20" t="s">
        <v>11</v>
      </c>
      <c r="I3" s="21" t="s">
        <v>723</v>
      </c>
    </row>
    <row r="4" spans="1:9" ht="52.8" x14ac:dyDescent="0.3">
      <c r="A4" s="11" t="s">
        <v>46</v>
      </c>
      <c r="B4" s="11" t="s">
        <v>15</v>
      </c>
      <c r="C4" s="25" t="s">
        <v>47</v>
      </c>
      <c r="D4" s="13" t="s">
        <v>48</v>
      </c>
      <c r="E4" s="13" t="s">
        <v>49</v>
      </c>
      <c r="F4" s="13" t="s">
        <v>50</v>
      </c>
      <c r="G4" s="30" t="s">
        <v>725</v>
      </c>
      <c r="H4" s="20" t="s">
        <v>11</v>
      </c>
      <c r="I4" s="21" t="s">
        <v>723</v>
      </c>
    </row>
    <row r="5" spans="1:9" ht="79.2" x14ac:dyDescent="0.3">
      <c r="A5" s="11" t="s">
        <v>51</v>
      </c>
      <c r="B5" s="11" t="s">
        <v>15</v>
      </c>
      <c r="C5" s="15" t="s">
        <v>47</v>
      </c>
      <c r="D5" s="13" t="s">
        <v>52</v>
      </c>
      <c r="E5" s="13" t="s">
        <v>53</v>
      </c>
      <c r="F5" s="13" t="s">
        <v>54</v>
      </c>
      <c r="G5" s="30" t="s">
        <v>726</v>
      </c>
      <c r="H5" s="32" t="s">
        <v>11</v>
      </c>
      <c r="I5" s="21" t="s">
        <v>723</v>
      </c>
    </row>
    <row r="6" spans="1:9" ht="79.2" x14ac:dyDescent="0.3">
      <c r="A6" s="11" t="s">
        <v>55</v>
      </c>
      <c r="B6" s="11" t="s">
        <v>15</v>
      </c>
      <c r="C6" s="15" t="s">
        <v>47</v>
      </c>
      <c r="D6" s="13" t="s">
        <v>56</v>
      </c>
      <c r="E6" s="21" t="s">
        <v>727</v>
      </c>
      <c r="F6" s="13" t="s">
        <v>57</v>
      </c>
      <c r="G6" s="30" t="s">
        <v>728</v>
      </c>
      <c r="H6" s="20" t="s">
        <v>11</v>
      </c>
      <c r="I6" s="21" t="s">
        <v>723</v>
      </c>
    </row>
    <row r="7" spans="1:9" ht="66" x14ac:dyDescent="0.3">
      <c r="A7" s="11" t="s">
        <v>58</v>
      </c>
      <c r="B7" s="11" t="s">
        <v>15</v>
      </c>
      <c r="C7" s="15" t="s">
        <v>47</v>
      </c>
      <c r="D7" s="13" t="s">
        <v>59</v>
      </c>
      <c r="E7" s="13" t="s">
        <v>60</v>
      </c>
      <c r="F7" s="13" t="s">
        <v>61</v>
      </c>
      <c r="G7" s="31" t="s">
        <v>729</v>
      </c>
      <c r="H7" s="20" t="s">
        <v>11</v>
      </c>
      <c r="I7" s="13" t="s">
        <v>62</v>
      </c>
    </row>
    <row r="8" spans="1:9" ht="115.2" x14ac:dyDescent="0.3">
      <c r="A8" s="11" t="s">
        <v>63</v>
      </c>
      <c r="B8" s="11" t="s">
        <v>15</v>
      </c>
      <c r="C8" s="15" t="s">
        <v>47</v>
      </c>
      <c r="D8" s="13" t="s">
        <v>64</v>
      </c>
      <c r="E8" s="13" t="s">
        <v>65</v>
      </c>
      <c r="F8" s="13" t="s">
        <v>66</v>
      </c>
      <c r="G8" s="33" t="s">
        <v>730</v>
      </c>
      <c r="H8" s="20" t="s">
        <v>11</v>
      </c>
      <c r="I8" s="13" t="s">
        <v>723</v>
      </c>
    </row>
    <row r="9" spans="1:9" ht="52.8" x14ac:dyDescent="0.3">
      <c r="A9" s="11" t="s">
        <v>67</v>
      </c>
      <c r="B9" s="11" t="s">
        <v>15</v>
      </c>
      <c r="C9" s="26" t="s">
        <v>68</v>
      </c>
      <c r="D9" s="13" t="s">
        <v>69</v>
      </c>
      <c r="E9" s="13" t="s">
        <v>70</v>
      </c>
      <c r="F9" s="13" t="s">
        <v>71</v>
      </c>
      <c r="G9" s="31" t="s">
        <v>731</v>
      </c>
      <c r="H9" s="20" t="s">
        <v>11</v>
      </c>
      <c r="I9" s="13" t="s">
        <v>723</v>
      </c>
    </row>
    <row r="10" spans="1:9" ht="66" x14ac:dyDescent="0.3">
      <c r="A10" s="11" t="s">
        <v>72</v>
      </c>
      <c r="B10" s="11" t="s">
        <v>15</v>
      </c>
      <c r="C10" s="16" t="s">
        <v>68</v>
      </c>
      <c r="D10" s="13" t="s">
        <v>73</v>
      </c>
      <c r="E10" s="13" t="s">
        <v>74</v>
      </c>
      <c r="F10" s="13" t="s">
        <v>75</v>
      </c>
      <c r="G10" s="31" t="s">
        <v>732</v>
      </c>
      <c r="H10" s="20" t="s">
        <v>11</v>
      </c>
      <c r="I10" s="13" t="s">
        <v>76</v>
      </c>
    </row>
    <row r="11" spans="1:9" ht="66" x14ac:dyDescent="0.3">
      <c r="A11" s="11" t="s">
        <v>77</v>
      </c>
      <c r="B11" s="11" t="s">
        <v>15</v>
      </c>
      <c r="C11" s="16" t="s">
        <v>68</v>
      </c>
      <c r="D11" s="13" t="s">
        <v>713</v>
      </c>
      <c r="E11" s="13" t="s">
        <v>78</v>
      </c>
      <c r="F11" s="13" t="s">
        <v>79</v>
      </c>
      <c r="G11" s="31" t="s">
        <v>733</v>
      </c>
      <c r="H11" s="20" t="s">
        <v>11</v>
      </c>
      <c r="I11" s="13" t="s">
        <v>80</v>
      </c>
    </row>
    <row r="12" spans="1:9" ht="105.6" x14ac:dyDescent="0.3">
      <c r="A12" s="11" t="s">
        <v>81</v>
      </c>
      <c r="B12" s="11" t="s">
        <v>15</v>
      </c>
      <c r="C12" s="16" t="s">
        <v>68</v>
      </c>
      <c r="D12" s="13" t="s">
        <v>82</v>
      </c>
      <c r="E12" s="13" t="s">
        <v>83</v>
      </c>
      <c r="F12" s="19" t="s">
        <v>714</v>
      </c>
      <c r="G12" s="31" t="s">
        <v>734</v>
      </c>
      <c r="H12" s="20" t="s">
        <v>11</v>
      </c>
      <c r="I12" s="13" t="s">
        <v>723</v>
      </c>
    </row>
    <row r="13" spans="1:9" ht="92.4" x14ac:dyDescent="0.3">
      <c r="A13" s="11" t="s">
        <v>84</v>
      </c>
      <c r="B13" s="11" t="s">
        <v>17</v>
      </c>
      <c r="C13" s="12" t="s">
        <v>38</v>
      </c>
      <c r="D13" s="13" t="s">
        <v>85</v>
      </c>
      <c r="E13" s="13" t="s">
        <v>86</v>
      </c>
      <c r="F13" s="13" t="s">
        <v>87</v>
      </c>
      <c r="G13" s="31" t="s">
        <v>735</v>
      </c>
      <c r="H13" s="20" t="s">
        <v>11</v>
      </c>
      <c r="I13" s="13" t="s">
        <v>723</v>
      </c>
    </row>
    <row r="14" spans="1:9" ht="66" x14ac:dyDescent="0.3">
      <c r="A14" s="11" t="s">
        <v>88</v>
      </c>
      <c r="B14" s="11" t="s">
        <v>17</v>
      </c>
      <c r="C14" s="12" t="s">
        <v>38</v>
      </c>
      <c r="D14" s="13" t="s">
        <v>89</v>
      </c>
      <c r="E14" s="13" t="s">
        <v>90</v>
      </c>
      <c r="F14" s="13" t="s">
        <v>91</v>
      </c>
      <c r="G14" s="31" t="s">
        <v>736</v>
      </c>
      <c r="H14" s="20" t="s">
        <v>11</v>
      </c>
      <c r="I14" s="13" t="s">
        <v>737</v>
      </c>
    </row>
    <row r="15" spans="1:9" x14ac:dyDescent="0.3">
      <c r="A15" s="11" t="s">
        <v>92</v>
      </c>
      <c r="B15" s="11" t="s">
        <v>17</v>
      </c>
      <c r="C15" s="12" t="s">
        <v>38</v>
      </c>
      <c r="D15" s="13" t="s">
        <v>93</v>
      </c>
      <c r="E15" s="13" t="s">
        <v>94</v>
      </c>
      <c r="F15" s="13" t="s">
        <v>95</v>
      </c>
      <c r="G15" s="31"/>
      <c r="H15" s="14" t="s">
        <v>13</v>
      </c>
      <c r="I15" s="13"/>
    </row>
    <row r="16" spans="1:9" ht="26.4" x14ac:dyDescent="0.3">
      <c r="A16" s="11" t="s">
        <v>96</v>
      </c>
      <c r="B16" s="11" t="s">
        <v>17</v>
      </c>
      <c r="C16" s="12" t="s">
        <v>38</v>
      </c>
      <c r="D16" s="13" t="s">
        <v>97</v>
      </c>
      <c r="E16" s="13" t="s">
        <v>98</v>
      </c>
      <c r="F16" s="13" t="s">
        <v>99</v>
      </c>
      <c r="G16" s="31"/>
      <c r="H16" s="14" t="s">
        <v>13</v>
      </c>
      <c r="I16" s="13"/>
    </row>
    <row r="17" spans="1:9" ht="79.2" x14ac:dyDescent="0.3">
      <c r="A17" s="11" t="s">
        <v>100</v>
      </c>
      <c r="B17" s="11" t="s">
        <v>17</v>
      </c>
      <c r="C17" s="15" t="s">
        <v>47</v>
      </c>
      <c r="D17" s="13" t="s">
        <v>101</v>
      </c>
      <c r="E17" s="13" t="s">
        <v>102</v>
      </c>
      <c r="F17" s="13" t="s">
        <v>103</v>
      </c>
      <c r="G17" s="31" t="s">
        <v>738</v>
      </c>
      <c r="H17" s="20" t="s">
        <v>11</v>
      </c>
      <c r="I17" s="13" t="s">
        <v>741</v>
      </c>
    </row>
    <row r="18" spans="1:9" ht="26.4" x14ac:dyDescent="0.3">
      <c r="A18" s="11" t="s">
        <v>104</v>
      </c>
      <c r="B18" s="11" t="s">
        <v>17</v>
      </c>
      <c r="C18" s="15" t="s">
        <v>47</v>
      </c>
      <c r="D18" s="13" t="s">
        <v>105</v>
      </c>
      <c r="E18" s="13" t="s">
        <v>106</v>
      </c>
      <c r="F18" s="13" t="s">
        <v>107</v>
      </c>
      <c r="G18" s="31"/>
      <c r="H18" s="14" t="s">
        <v>13</v>
      </c>
      <c r="I18" s="13"/>
    </row>
    <row r="19" spans="1:9" ht="26.4" x14ac:dyDescent="0.3">
      <c r="A19" s="11" t="s">
        <v>108</v>
      </c>
      <c r="B19" s="11" t="s">
        <v>17</v>
      </c>
      <c r="C19" s="15" t="s">
        <v>47</v>
      </c>
      <c r="D19" s="13" t="s">
        <v>109</v>
      </c>
      <c r="E19" s="13" t="s">
        <v>110</v>
      </c>
      <c r="F19" s="13" t="s">
        <v>111</v>
      </c>
      <c r="G19" s="31"/>
      <c r="H19" s="14" t="s">
        <v>13</v>
      </c>
      <c r="I19" s="13"/>
    </row>
    <row r="20" spans="1:9" ht="26.4" x14ac:dyDescent="0.3">
      <c r="A20" s="11" t="s">
        <v>112</v>
      </c>
      <c r="B20" s="11" t="s">
        <v>17</v>
      </c>
      <c r="C20" s="15" t="s">
        <v>47</v>
      </c>
      <c r="D20" s="13" t="s">
        <v>113</v>
      </c>
      <c r="E20" s="13" t="s">
        <v>114</v>
      </c>
      <c r="F20" s="13" t="s">
        <v>115</v>
      </c>
      <c r="G20" s="31"/>
      <c r="H20" s="14" t="s">
        <v>13</v>
      </c>
      <c r="I20" s="13" t="s">
        <v>116</v>
      </c>
    </row>
    <row r="21" spans="1:9" ht="100.8" x14ac:dyDescent="0.3">
      <c r="A21" s="11" t="s">
        <v>117</v>
      </c>
      <c r="B21" s="11" t="s">
        <v>17</v>
      </c>
      <c r="C21" s="15" t="s">
        <v>47</v>
      </c>
      <c r="D21" s="13" t="s">
        <v>118</v>
      </c>
      <c r="E21" s="13" t="s">
        <v>119</v>
      </c>
      <c r="F21" s="13" t="s">
        <v>120</v>
      </c>
      <c r="G21" s="34" t="s">
        <v>739</v>
      </c>
      <c r="H21" s="20" t="s">
        <v>11</v>
      </c>
      <c r="I21" s="13" t="s">
        <v>740</v>
      </c>
    </row>
    <row r="22" spans="1:9" x14ac:dyDescent="0.3">
      <c r="A22" s="11" t="s">
        <v>121</v>
      </c>
      <c r="B22" s="11" t="s">
        <v>17</v>
      </c>
      <c r="C22" s="15" t="s">
        <v>47</v>
      </c>
      <c r="D22" s="13" t="s">
        <v>122</v>
      </c>
      <c r="E22" s="13" t="s">
        <v>123</v>
      </c>
      <c r="F22" s="13" t="s">
        <v>124</v>
      </c>
      <c r="G22" s="31"/>
      <c r="H22" s="14" t="s">
        <v>13</v>
      </c>
      <c r="I22" s="13" t="s">
        <v>744</v>
      </c>
    </row>
    <row r="23" spans="1:9" ht="66" x14ac:dyDescent="0.3">
      <c r="A23" s="11" t="s">
        <v>125</v>
      </c>
      <c r="B23" s="11" t="s">
        <v>17</v>
      </c>
      <c r="C23" s="16" t="s">
        <v>68</v>
      </c>
      <c r="D23" s="13" t="s">
        <v>126</v>
      </c>
      <c r="E23" s="13" t="s">
        <v>127</v>
      </c>
      <c r="F23" s="13" t="s">
        <v>128</v>
      </c>
      <c r="G23" s="31" t="s">
        <v>742</v>
      </c>
      <c r="H23" s="20" t="s">
        <v>11</v>
      </c>
      <c r="I23" s="13" t="s">
        <v>723</v>
      </c>
    </row>
    <row r="24" spans="1:9" ht="92.4" x14ac:dyDescent="0.3">
      <c r="A24" s="11" t="s">
        <v>129</v>
      </c>
      <c r="B24" s="11" t="s">
        <v>17</v>
      </c>
      <c r="C24" s="16" t="s">
        <v>68</v>
      </c>
      <c r="D24" s="13" t="s">
        <v>130</v>
      </c>
      <c r="E24" s="13" t="s">
        <v>131</v>
      </c>
      <c r="F24" s="13" t="s">
        <v>132</v>
      </c>
      <c r="G24" s="31" t="s">
        <v>743</v>
      </c>
      <c r="H24" s="20" t="s">
        <v>11</v>
      </c>
      <c r="I24" s="13" t="s">
        <v>723</v>
      </c>
    </row>
    <row r="25" spans="1:9" x14ac:dyDescent="0.3">
      <c r="A25" s="11" t="s">
        <v>133</v>
      </c>
      <c r="B25" s="11" t="s">
        <v>17</v>
      </c>
      <c r="C25" s="16" t="s">
        <v>68</v>
      </c>
      <c r="D25" s="13" t="s">
        <v>134</v>
      </c>
      <c r="E25" s="13" t="s">
        <v>135</v>
      </c>
      <c r="F25" s="13" t="s">
        <v>136</v>
      </c>
      <c r="G25" s="31"/>
      <c r="H25" s="14" t="s">
        <v>13</v>
      </c>
      <c r="I25" s="13"/>
    </row>
    <row r="26" spans="1:9" x14ac:dyDescent="0.3">
      <c r="A26" s="11" t="s">
        <v>137</v>
      </c>
      <c r="B26" s="11" t="s">
        <v>17</v>
      </c>
      <c r="C26" s="16" t="s">
        <v>68</v>
      </c>
      <c r="D26" s="13" t="s">
        <v>138</v>
      </c>
      <c r="E26" s="13" t="s">
        <v>139</v>
      </c>
      <c r="F26" s="13" t="s">
        <v>140</v>
      </c>
      <c r="G26" s="31"/>
      <c r="H26" s="14" t="s">
        <v>13</v>
      </c>
      <c r="I26" s="13"/>
    </row>
    <row r="27" spans="1:9" ht="26.4" x14ac:dyDescent="0.3">
      <c r="A27" s="11" t="s">
        <v>141</v>
      </c>
      <c r="B27" s="11" t="s">
        <v>18</v>
      </c>
      <c r="C27" s="12" t="s">
        <v>38</v>
      </c>
      <c r="D27" s="13" t="s">
        <v>142</v>
      </c>
      <c r="E27" s="13" t="s">
        <v>143</v>
      </c>
      <c r="F27" s="13" t="s">
        <v>144</v>
      </c>
      <c r="G27" s="31"/>
      <c r="H27" s="14" t="s">
        <v>13</v>
      </c>
      <c r="I27" s="13" t="s">
        <v>145</v>
      </c>
    </row>
    <row r="28" spans="1:9" x14ac:dyDescent="0.3">
      <c r="A28" s="11" t="s">
        <v>146</v>
      </c>
      <c r="B28" s="11" t="s">
        <v>18</v>
      </c>
      <c r="C28" s="12" t="s">
        <v>38</v>
      </c>
      <c r="D28" s="13" t="s">
        <v>147</v>
      </c>
      <c r="E28" s="13" t="s">
        <v>148</v>
      </c>
      <c r="F28" s="13" t="s">
        <v>149</v>
      </c>
      <c r="G28" s="31"/>
      <c r="H28" s="14" t="s">
        <v>13</v>
      </c>
      <c r="I28" s="13"/>
    </row>
    <row r="29" spans="1:9" x14ac:dyDescent="0.3">
      <c r="A29" s="11" t="s">
        <v>150</v>
      </c>
      <c r="B29" s="11" t="s">
        <v>18</v>
      </c>
      <c r="C29" s="15" t="s">
        <v>47</v>
      </c>
      <c r="D29" s="13" t="s">
        <v>151</v>
      </c>
      <c r="E29" s="13" t="s">
        <v>152</v>
      </c>
      <c r="F29" s="13" t="s">
        <v>153</v>
      </c>
      <c r="G29" s="31"/>
      <c r="H29" s="14" t="s">
        <v>13</v>
      </c>
      <c r="I29" s="13"/>
    </row>
    <row r="30" spans="1:9" ht="26.4" x14ac:dyDescent="0.3">
      <c r="A30" s="11" t="s">
        <v>154</v>
      </c>
      <c r="B30" s="11" t="s">
        <v>18</v>
      </c>
      <c r="C30" s="15" t="s">
        <v>47</v>
      </c>
      <c r="D30" s="13" t="s">
        <v>155</v>
      </c>
      <c r="E30" s="13" t="s">
        <v>156</v>
      </c>
      <c r="F30" s="13" t="s">
        <v>157</v>
      </c>
      <c r="G30" s="31"/>
      <c r="H30" s="14" t="s">
        <v>13</v>
      </c>
      <c r="I30" s="13"/>
    </row>
    <row r="31" spans="1:9" ht="26.4" x14ac:dyDescent="0.3">
      <c r="A31" s="11" t="s">
        <v>158</v>
      </c>
      <c r="B31" s="11" t="s">
        <v>18</v>
      </c>
      <c r="C31" s="15" t="s">
        <v>47</v>
      </c>
      <c r="D31" s="13" t="s">
        <v>159</v>
      </c>
      <c r="E31" s="13" t="s">
        <v>160</v>
      </c>
      <c r="F31" s="13" t="s">
        <v>161</v>
      </c>
      <c r="G31" s="31"/>
      <c r="H31" s="14" t="s">
        <v>13</v>
      </c>
      <c r="I31" s="13" t="s">
        <v>162</v>
      </c>
    </row>
    <row r="32" spans="1:9" x14ac:dyDescent="0.3">
      <c r="A32" s="11" t="s">
        <v>163</v>
      </c>
      <c r="B32" s="11" t="s">
        <v>18</v>
      </c>
      <c r="C32" s="16" t="s">
        <v>68</v>
      </c>
      <c r="D32" s="13" t="s">
        <v>164</v>
      </c>
      <c r="E32" s="13" t="s">
        <v>165</v>
      </c>
      <c r="F32" s="13" t="s">
        <v>166</v>
      </c>
      <c r="G32" s="31"/>
      <c r="H32" s="14" t="s">
        <v>13</v>
      </c>
      <c r="I32" s="13"/>
    </row>
    <row r="33" spans="1:9" x14ac:dyDescent="0.3">
      <c r="A33" s="11" t="s">
        <v>167</v>
      </c>
      <c r="B33" s="11" t="s">
        <v>18</v>
      </c>
      <c r="C33" s="16" t="s">
        <v>68</v>
      </c>
      <c r="D33" s="13" t="s">
        <v>168</v>
      </c>
      <c r="E33" s="13" t="s">
        <v>169</v>
      </c>
      <c r="F33" s="13" t="s">
        <v>170</v>
      </c>
      <c r="G33" s="31"/>
      <c r="H33" s="14" t="s">
        <v>13</v>
      </c>
      <c r="I33" s="13"/>
    </row>
    <row r="34" spans="1:9" x14ac:dyDescent="0.3">
      <c r="A34" s="11" t="s">
        <v>171</v>
      </c>
      <c r="B34" s="11" t="s">
        <v>18</v>
      </c>
      <c r="C34" s="16" t="s">
        <v>68</v>
      </c>
      <c r="D34" s="13" t="s">
        <v>172</v>
      </c>
      <c r="E34" s="13" t="s">
        <v>173</v>
      </c>
      <c r="F34" s="13" t="s">
        <v>174</v>
      </c>
      <c r="G34" s="31"/>
      <c r="H34" s="14" t="s">
        <v>13</v>
      </c>
      <c r="I34" s="13"/>
    </row>
    <row r="35" spans="1:9" ht="66" x14ac:dyDescent="0.3">
      <c r="A35" s="11" t="s">
        <v>175</v>
      </c>
      <c r="B35" s="11" t="s">
        <v>20</v>
      </c>
      <c r="C35" s="12" t="s">
        <v>38</v>
      </c>
      <c r="D35" s="13" t="s">
        <v>176</v>
      </c>
      <c r="E35" s="13" t="s">
        <v>177</v>
      </c>
      <c r="F35" s="13" t="s">
        <v>178</v>
      </c>
      <c r="G35" s="31" t="s">
        <v>745</v>
      </c>
      <c r="H35" s="20" t="s">
        <v>11</v>
      </c>
      <c r="I35" s="13" t="s">
        <v>746</v>
      </c>
    </row>
    <row r="36" spans="1:9" ht="79.2" x14ac:dyDescent="0.3">
      <c r="A36" s="11" t="s">
        <v>179</v>
      </c>
      <c r="B36" s="11" t="s">
        <v>20</v>
      </c>
      <c r="C36" s="12" t="s">
        <v>38</v>
      </c>
      <c r="D36" s="13" t="s">
        <v>180</v>
      </c>
      <c r="E36" s="13" t="s">
        <v>181</v>
      </c>
      <c r="F36" s="13" t="s">
        <v>182</v>
      </c>
      <c r="G36" s="31" t="s">
        <v>747</v>
      </c>
      <c r="H36" s="20" t="s">
        <v>11</v>
      </c>
      <c r="I36" s="13" t="s">
        <v>748</v>
      </c>
    </row>
    <row r="37" spans="1:9" ht="86.4" x14ac:dyDescent="0.3">
      <c r="A37" s="11" t="s">
        <v>183</v>
      </c>
      <c r="B37" s="11" t="s">
        <v>20</v>
      </c>
      <c r="C37" s="15" t="s">
        <v>47</v>
      </c>
      <c r="D37" s="13" t="s">
        <v>184</v>
      </c>
      <c r="E37" s="13" t="s">
        <v>185</v>
      </c>
      <c r="F37" s="13" t="s">
        <v>186</v>
      </c>
      <c r="G37" s="33" t="s">
        <v>749</v>
      </c>
      <c r="H37" s="20" t="s">
        <v>11</v>
      </c>
      <c r="I37" s="13" t="s">
        <v>750</v>
      </c>
    </row>
    <row r="38" spans="1:9" x14ac:dyDescent="0.3">
      <c r="A38" s="11" t="s">
        <v>187</v>
      </c>
      <c r="B38" s="11" t="s">
        <v>20</v>
      </c>
      <c r="C38" s="15" t="s">
        <v>47</v>
      </c>
      <c r="D38" s="13" t="s">
        <v>188</v>
      </c>
      <c r="E38" s="13" t="s">
        <v>189</v>
      </c>
      <c r="F38" s="13" t="s">
        <v>190</v>
      </c>
      <c r="G38" s="31"/>
      <c r="H38" s="14" t="s">
        <v>13</v>
      </c>
      <c r="I38" s="13"/>
    </row>
    <row r="39" spans="1:9" x14ac:dyDescent="0.3">
      <c r="A39" s="11" t="s">
        <v>191</v>
      </c>
      <c r="B39" s="11" t="s">
        <v>20</v>
      </c>
      <c r="C39" s="15" t="s">
        <v>47</v>
      </c>
      <c r="D39" s="13" t="s">
        <v>192</v>
      </c>
      <c r="E39" s="13" t="s">
        <v>193</v>
      </c>
      <c r="F39" s="13" t="s">
        <v>194</v>
      </c>
      <c r="G39" s="31"/>
      <c r="H39" s="14" t="s">
        <v>13</v>
      </c>
      <c r="I39" s="13"/>
    </row>
    <row r="40" spans="1:9" ht="79.2" x14ac:dyDescent="0.3">
      <c r="A40" s="11" t="s">
        <v>195</v>
      </c>
      <c r="B40" s="11" t="s">
        <v>20</v>
      </c>
      <c r="C40" s="15" t="s">
        <v>47</v>
      </c>
      <c r="D40" s="13" t="s">
        <v>196</v>
      </c>
      <c r="E40" s="13" t="s">
        <v>197</v>
      </c>
      <c r="F40" s="13" t="s">
        <v>198</v>
      </c>
      <c r="G40" s="31" t="s">
        <v>751</v>
      </c>
      <c r="H40" s="20" t="s">
        <v>11</v>
      </c>
      <c r="I40" s="13" t="s">
        <v>752</v>
      </c>
    </row>
    <row r="41" spans="1:9" x14ac:dyDescent="0.3">
      <c r="A41" s="11" t="s">
        <v>199</v>
      </c>
      <c r="B41" s="11" t="s">
        <v>20</v>
      </c>
      <c r="C41" s="15" t="s">
        <v>47</v>
      </c>
      <c r="D41" s="13" t="s">
        <v>122</v>
      </c>
      <c r="E41" s="13" t="s">
        <v>200</v>
      </c>
      <c r="F41" s="13" t="s">
        <v>201</v>
      </c>
      <c r="G41" s="31"/>
      <c r="H41" s="14" t="s">
        <v>13</v>
      </c>
      <c r="I41" s="13" t="s">
        <v>202</v>
      </c>
    </row>
    <row r="42" spans="1:9" x14ac:dyDescent="0.3">
      <c r="A42" s="11" t="s">
        <v>203</v>
      </c>
      <c r="B42" s="11" t="s">
        <v>20</v>
      </c>
      <c r="C42" s="16" t="s">
        <v>68</v>
      </c>
      <c r="D42" s="13" t="s">
        <v>204</v>
      </c>
      <c r="E42" s="13" t="s">
        <v>205</v>
      </c>
      <c r="F42" s="13" t="s">
        <v>206</v>
      </c>
      <c r="G42" s="31"/>
      <c r="H42" s="14" t="s">
        <v>13</v>
      </c>
      <c r="I42" s="13"/>
    </row>
    <row r="43" spans="1:9" ht="26.4" x14ac:dyDescent="0.3">
      <c r="A43" s="11" t="s">
        <v>207</v>
      </c>
      <c r="B43" s="11" t="s">
        <v>20</v>
      </c>
      <c r="C43" s="16" t="s">
        <v>68</v>
      </c>
      <c r="D43" s="13" t="s">
        <v>208</v>
      </c>
      <c r="E43" s="13" t="s">
        <v>209</v>
      </c>
      <c r="F43" s="13" t="s">
        <v>210</v>
      </c>
      <c r="G43" s="31"/>
      <c r="H43" s="14" t="s">
        <v>13</v>
      </c>
      <c r="I43" s="13"/>
    </row>
    <row r="44" spans="1:9" x14ac:dyDescent="0.3">
      <c r="A44" s="11" t="s">
        <v>211</v>
      </c>
      <c r="B44" s="11" t="s">
        <v>20</v>
      </c>
      <c r="C44" s="16" t="s">
        <v>68</v>
      </c>
      <c r="D44" s="13" t="s">
        <v>212</v>
      </c>
      <c r="E44" s="13" t="s">
        <v>213</v>
      </c>
      <c r="F44" s="13" t="s">
        <v>214</v>
      </c>
      <c r="G44" s="31"/>
      <c r="H44" s="14" t="s">
        <v>13</v>
      </c>
      <c r="I44" s="13"/>
    </row>
    <row r="45" spans="1:9" x14ac:dyDescent="0.3">
      <c r="A45" s="11" t="s">
        <v>215</v>
      </c>
      <c r="B45" s="11" t="s">
        <v>20</v>
      </c>
      <c r="C45" s="16" t="s">
        <v>68</v>
      </c>
      <c r="D45" s="13" t="s">
        <v>216</v>
      </c>
      <c r="E45" s="13" t="s">
        <v>217</v>
      </c>
      <c r="F45" s="13" t="s">
        <v>218</v>
      </c>
      <c r="G45" s="31"/>
      <c r="H45" s="14" t="s">
        <v>13</v>
      </c>
      <c r="I45" s="13"/>
    </row>
    <row r="46" spans="1:9" x14ac:dyDescent="0.3">
      <c r="A46" s="11" t="s">
        <v>219</v>
      </c>
      <c r="B46" s="11" t="s">
        <v>21</v>
      </c>
      <c r="C46" s="12" t="s">
        <v>38</v>
      </c>
      <c r="D46" s="13" t="s">
        <v>220</v>
      </c>
      <c r="E46" s="13" t="s">
        <v>221</v>
      </c>
      <c r="F46" s="13" t="s">
        <v>222</v>
      </c>
      <c r="G46" s="31"/>
      <c r="H46" s="14" t="s">
        <v>13</v>
      </c>
      <c r="I46" s="13"/>
    </row>
    <row r="47" spans="1:9" x14ac:dyDescent="0.3">
      <c r="A47" s="11" t="s">
        <v>223</v>
      </c>
      <c r="B47" s="11" t="s">
        <v>21</v>
      </c>
      <c r="C47" s="12" t="s">
        <v>38</v>
      </c>
      <c r="D47" s="13" t="s">
        <v>224</v>
      </c>
      <c r="E47" s="13" t="s">
        <v>225</v>
      </c>
      <c r="F47" s="13" t="s">
        <v>226</v>
      </c>
      <c r="G47" s="31"/>
      <c r="H47" s="14" t="s">
        <v>13</v>
      </c>
      <c r="I47" s="13"/>
    </row>
    <row r="48" spans="1:9" x14ac:dyDescent="0.3">
      <c r="A48" s="11" t="s">
        <v>227</v>
      </c>
      <c r="B48" s="11" t="s">
        <v>21</v>
      </c>
      <c r="C48" s="15" t="s">
        <v>47</v>
      </c>
      <c r="D48" s="13" t="s">
        <v>184</v>
      </c>
      <c r="E48" s="13" t="s">
        <v>228</v>
      </c>
      <c r="F48" s="13" t="s">
        <v>186</v>
      </c>
      <c r="G48" s="31"/>
      <c r="H48" s="14" t="s">
        <v>13</v>
      </c>
      <c r="I48" s="13"/>
    </row>
    <row r="49" spans="1:9" x14ac:dyDescent="0.3">
      <c r="A49" s="11" t="s">
        <v>229</v>
      </c>
      <c r="B49" s="11" t="s">
        <v>21</v>
      </c>
      <c r="C49" s="15" t="s">
        <v>47</v>
      </c>
      <c r="D49" s="13" t="s">
        <v>230</v>
      </c>
      <c r="E49" s="13" t="s">
        <v>231</v>
      </c>
      <c r="F49" s="13" t="s">
        <v>232</v>
      </c>
      <c r="G49" s="31"/>
      <c r="H49" s="14" t="s">
        <v>13</v>
      </c>
      <c r="I49" s="13"/>
    </row>
    <row r="50" spans="1:9" x14ac:dyDescent="0.3">
      <c r="A50" s="11" t="s">
        <v>233</v>
      </c>
      <c r="B50" s="11" t="s">
        <v>21</v>
      </c>
      <c r="C50" s="15" t="s">
        <v>47</v>
      </c>
      <c r="D50" s="13" t="s">
        <v>234</v>
      </c>
      <c r="E50" s="13" t="s">
        <v>235</v>
      </c>
      <c r="F50" s="13" t="s">
        <v>236</v>
      </c>
      <c r="G50" s="31"/>
      <c r="H50" s="14" t="s">
        <v>13</v>
      </c>
      <c r="I50" s="13"/>
    </row>
    <row r="51" spans="1:9" x14ac:dyDescent="0.3">
      <c r="A51" s="11" t="s">
        <v>237</v>
      </c>
      <c r="B51" s="11" t="s">
        <v>21</v>
      </c>
      <c r="C51" s="15" t="s">
        <v>47</v>
      </c>
      <c r="D51" s="13" t="s">
        <v>238</v>
      </c>
      <c r="E51" s="13" t="s">
        <v>239</v>
      </c>
      <c r="F51" s="13" t="s">
        <v>240</v>
      </c>
      <c r="G51" s="31"/>
      <c r="H51" s="14" t="s">
        <v>13</v>
      </c>
      <c r="I51" s="13"/>
    </row>
    <row r="52" spans="1:9" x14ac:dyDescent="0.3">
      <c r="A52" s="11" t="s">
        <v>241</v>
      </c>
      <c r="B52" s="11" t="s">
        <v>21</v>
      </c>
      <c r="C52" s="15" t="s">
        <v>47</v>
      </c>
      <c r="D52" s="13" t="s">
        <v>188</v>
      </c>
      <c r="E52" s="13" t="s">
        <v>242</v>
      </c>
      <c r="F52" s="13" t="s">
        <v>243</v>
      </c>
      <c r="G52" s="31"/>
      <c r="H52" s="14" t="s">
        <v>13</v>
      </c>
      <c r="I52" s="13"/>
    </row>
    <row r="53" spans="1:9" x14ac:dyDescent="0.3">
      <c r="A53" s="11" t="s">
        <v>244</v>
      </c>
      <c r="B53" s="11" t="s">
        <v>21</v>
      </c>
      <c r="C53" s="16" t="s">
        <v>68</v>
      </c>
      <c r="D53" s="13" t="s">
        <v>245</v>
      </c>
      <c r="E53" s="13" t="s">
        <v>246</v>
      </c>
      <c r="F53" s="13" t="s">
        <v>247</v>
      </c>
      <c r="G53" s="31"/>
      <c r="H53" s="14" t="s">
        <v>13</v>
      </c>
      <c r="I53" s="13"/>
    </row>
    <row r="54" spans="1:9" x14ac:dyDescent="0.3">
      <c r="A54" s="11" t="s">
        <v>248</v>
      </c>
      <c r="B54" s="11" t="s">
        <v>21</v>
      </c>
      <c r="C54" s="16" t="s">
        <v>68</v>
      </c>
      <c r="D54" s="13" t="s">
        <v>249</v>
      </c>
      <c r="E54" s="13" t="s">
        <v>250</v>
      </c>
      <c r="F54" s="13" t="s">
        <v>251</v>
      </c>
      <c r="G54" s="31"/>
      <c r="H54" s="14" t="s">
        <v>13</v>
      </c>
      <c r="I54" s="13"/>
    </row>
    <row r="55" spans="1:9" x14ac:dyDescent="0.3">
      <c r="A55" s="11" t="s">
        <v>252</v>
      </c>
      <c r="B55" s="11" t="s">
        <v>21</v>
      </c>
      <c r="C55" s="16" t="s">
        <v>68</v>
      </c>
      <c r="D55" s="13" t="s">
        <v>253</v>
      </c>
      <c r="E55" s="13" t="s">
        <v>254</v>
      </c>
      <c r="F55" s="13" t="s">
        <v>255</v>
      </c>
      <c r="G55" s="31"/>
      <c r="H55" s="14" t="s">
        <v>13</v>
      </c>
      <c r="I55" s="13"/>
    </row>
    <row r="56" spans="1:9" x14ac:dyDescent="0.3">
      <c r="A56" s="11" t="s">
        <v>256</v>
      </c>
      <c r="B56" s="11" t="s">
        <v>21</v>
      </c>
      <c r="C56" s="16" t="s">
        <v>68</v>
      </c>
      <c r="D56" s="13" t="s">
        <v>257</v>
      </c>
      <c r="E56" s="13" t="s">
        <v>258</v>
      </c>
      <c r="F56" s="13" t="s">
        <v>259</v>
      </c>
      <c r="G56" s="31"/>
      <c r="H56" s="14" t="s">
        <v>13</v>
      </c>
      <c r="I56" s="13"/>
    </row>
    <row r="57" spans="1:9" x14ac:dyDescent="0.3">
      <c r="A57" s="11" t="s">
        <v>260</v>
      </c>
      <c r="B57" s="11" t="s">
        <v>22</v>
      </c>
      <c r="C57" s="12" t="s">
        <v>38</v>
      </c>
      <c r="D57" s="13" t="s">
        <v>261</v>
      </c>
      <c r="E57" s="13" t="s">
        <v>262</v>
      </c>
      <c r="F57" s="13" t="s">
        <v>263</v>
      </c>
      <c r="G57" s="31"/>
      <c r="H57" s="14" t="s">
        <v>13</v>
      </c>
      <c r="I57" s="13"/>
    </row>
    <row r="58" spans="1:9" ht="26.4" x14ac:dyDescent="0.3">
      <c r="A58" s="11" t="s">
        <v>264</v>
      </c>
      <c r="B58" s="11" t="s">
        <v>22</v>
      </c>
      <c r="C58" s="12" t="s">
        <v>38</v>
      </c>
      <c r="D58" s="13" t="s">
        <v>265</v>
      </c>
      <c r="E58" s="13" t="s">
        <v>266</v>
      </c>
      <c r="F58" s="13" t="s">
        <v>267</v>
      </c>
      <c r="G58" s="31"/>
      <c r="H58" s="14" t="s">
        <v>13</v>
      </c>
      <c r="I58" s="13"/>
    </row>
    <row r="59" spans="1:9" x14ac:dyDescent="0.3">
      <c r="A59" s="11" t="s">
        <v>268</v>
      </c>
      <c r="B59" s="11" t="s">
        <v>22</v>
      </c>
      <c r="C59" s="15" t="s">
        <v>47</v>
      </c>
      <c r="D59" s="13" t="s">
        <v>269</v>
      </c>
      <c r="E59" s="13" t="s">
        <v>270</v>
      </c>
      <c r="F59" s="13" t="s">
        <v>198</v>
      </c>
      <c r="G59" s="31"/>
      <c r="H59" s="14" t="s">
        <v>13</v>
      </c>
      <c r="I59" s="13"/>
    </row>
    <row r="60" spans="1:9" ht="26.4" x14ac:dyDescent="0.3">
      <c r="A60" s="11" t="s">
        <v>271</v>
      </c>
      <c r="B60" s="11" t="s">
        <v>22</v>
      </c>
      <c r="C60" s="15" t="s">
        <v>47</v>
      </c>
      <c r="D60" s="13" t="s">
        <v>272</v>
      </c>
      <c r="E60" s="13" t="s">
        <v>273</v>
      </c>
      <c r="F60" s="13" t="s">
        <v>274</v>
      </c>
      <c r="G60" s="31"/>
      <c r="H60" s="14" t="s">
        <v>13</v>
      </c>
      <c r="I60" s="13" t="s">
        <v>275</v>
      </c>
    </row>
    <row r="61" spans="1:9" x14ac:dyDescent="0.3">
      <c r="A61" s="11" t="s">
        <v>276</v>
      </c>
      <c r="B61" s="11" t="s">
        <v>22</v>
      </c>
      <c r="C61" s="15" t="s">
        <v>47</v>
      </c>
      <c r="D61" s="13" t="s">
        <v>277</v>
      </c>
      <c r="E61" s="13" t="s">
        <v>278</v>
      </c>
      <c r="F61" s="13" t="s">
        <v>279</v>
      </c>
      <c r="G61" s="31"/>
      <c r="H61" s="14" t="s">
        <v>13</v>
      </c>
      <c r="I61" s="13"/>
    </row>
    <row r="62" spans="1:9" x14ac:dyDescent="0.3">
      <c r="A62" s="11" t="s">
        <v>280</v>
      </c>
      <c r="B62" s="11" t="s">
        <v>22</v>
      </c>
      <c r="C62" s="15" t="s">
        <v>47</v>
      </c>
      <c r="D62" s="13" t="s">
        <v>281</v>
      </c>
      <c r="E62" s="13" t="s">
        <v>282</v>
      </c>
      <c r="F62" s="13" t="s">
        <v>283</v>
      </c>
      <c r="G62" s="31"/>
      <c r="H62" s="14" t="s">
        <v>13</v>
      </c>
      <c r="I62" s="13"/>
    </row>
    <row r="63" spans="1:9" x14ac:dyDescent="0.3">
      <c r="A63" s="11" t="s">
        <v>284</v>
      </c>
      <c r="B63" s="11" t="s">
        <v>22</v>
      </c>
      <c r="C63" s="15" t="s">
        <v>47</v>
      </c>
      <c r="D63" s="13" t="s">
        <v>184</v>
      </c>
      <c r="E63" s="13" t="s">
        <v>285</v>
      </c>
      <c r="F63" s="13" t="s">
        <v>186</v>
      </c>
      <c r="G63" s="31"/>
      <c r="H63" s="14" t="s">
        <v>13</v>
      </c>
      <c r="I63" s="13"/>
    </row>
    <row r="64" spans="1:9" x14ac:dyDescent="0.3">
      <c r="A64" s="11" t="s">
        <v>286</v>
      </c>
      <c r="B64" s="11" t="s">
        <v>22</v>
      </c>
      <c r="C64" s="16" t="s">
        <v>68</v>
      </c>
      <c r="D64" s="13" t="s">
        <v>287</v>
      </c>
      <c r="E64" s="13" t="s">
        <v>288</v>
      </c>
      <c r="F64" s="13" t="s">
        <v>289</v>
      </c>
      <c r="G64" s="31"/>
      <c r="H64" s="14" t="s">
        <v>13</v>
      </c>
      <c r="I64" s="13"/>
    </row>
    <row r="65" spans="1:9" x14ac:dyDescent="0.3">
      <c r="A65" s="11" t="s">
        <v>290</v>
      </c>
      <c r="B65" s="11" t="s">
        <v>22</v>
      </c>
      <c r="C65" s="16" t="s">
        <v>68</v>
      </c>
      <c r="D65" s="13" t="s">
        <v>291</v>
      </c>
      <c r="E65" s="13" t="s">
        <v>292</v>
      </c>
      <c r="F65" s="13" t="s">
        <v>293</v>
      </c>
      <c r="G65" s="31"/>
      <c r="H65" s="14" t="s">
        <v>13</v>
      </c>
      <c r="I65" s="13"/>
    </row>
    <row r="66" spans="1:9" x14ac:dyDescent="0.3">
      <c r="A66" s="11" t="s">
        <v>294</v>
      </c>
      <c r="B66" s="11" t="s">
        <v>22</v>
      </c>
      <c r="C66" s="16" t="s">
        <v>68</v>
      </c>
      <c r="D66" s="13" t="s">
        <v>204</v>
      </c>
      <c r="E66" s="13" t="s">
        <v>295</v>
      </c>
      <c r="F66" s="13" t="s">
        <v>293</v>
      </c>
      <c r="G66" s="31"/>
      <c r="H66" s="14" t="s">
        <v>13</v>
      </c>
      <c r="I66" s="13"/>
    </row>
    <row r="67" spans="1:9" ht="26.4" x14ac:dyDescent="0.3">
      <c r="A67" s="11" t="s">
        <v>296</v>
      </c>
      <c r="B67" s="11" t="s">
        <v>22</v>
      </c>
      <c r="C67" s="16" t="s">
        <v>68</v>
      </c>
      <c r="D67" s="13" t="s">
        <v>297</v>
      </c>
      <c r="E67" s="13" t="s">
        <v>298</v>
      </c>
      <c r="F67" s="13" t="s">
        <v>299</v>
      </c>
      <c r="G67" s="31"/>
      <c r="H67" s="14" t="s">
        <v>13</v>
      </c>
      <c r="I67" s="13"/>
    </row>
    <row r="68" spans="1:9" x14ac:dyDescent="0.3">
      <c r="A68" s="11" t="s">
        <v>300</v>
      </c>
      <c r="B68" s="11" t="s">
        <v>23</v>
      </c>
      <c r="C68" s="12" t="s">
        <v>38</v>
      </c>
      <c r="D68" s="13" t="s">
        <v>301</v>
      </c>
      <c r="E68" s="13" t="s">
        <v>302</v>
      </c>
      <c r="F68" s="13" t="s">
        <v>303</v>
      </c>
      <c r="G68" s="31"/>
      <c r="H68" s="14" t="s">
        <v>13</v>
      </c>
      <c r="I68" s="13"/>
    </row>
    <row r="69" spans="1:9" x14ac:dyDescent="0.3">
      <c r="A69" s="11" t="s">
        <v>304</v>
      </c>
      <c r="B69" s="11" t="s">
        <v>23</v>
      </c>
      <c r="C69" s="12" t="s">
        <v>38</v>
      </c>
      <c r="D69" s="13" t="s">
        <v>305</v>
      </c>
      <c r="E69" s="13" t="s">
        <v>306</v>
      </c>
      <c r="F69" s="13" t="s">
        <v>307</v>
      </c>
      <c r="G69" s="31"/>
      <c r="H69" s="14" t="s">
        <v>13</v>
      </c>
      <c r="I69" s="13"/>
    </row>
    <row r="70" spans="1:9" x14ac:dyDescent="0.3">
      <c r="A70" s="11" t="s">
        <v>308</v>
      </c>
      <c r="B70" s="11" t="s">
        <v>23</v>
      </c>
      <c r="C70" s="12" t="s">
        <v>38</v>
      </c>
      <c r="D70" s="13" t="s">
        <v>309</v>
      </c>
      <c r="E70" s="13" t="s">
        <v>310</v>
      </c>
      <c r="F70" s="13" t="s">
        <v>95</v>
      </c>
      <c r="G70" s="31"/>
      <c r="H70" s="14" t="s">
        <v>13</v>
      </c>
      <c r="I70" s="13"/>
    </row>
    <row r="71" spans="1:9" ht="26.4" x14ac:dyDescent="0.3">
      <c r="A71" s="11" t="s">
        <v>311</v>
      </c>
      <c r="B71" s="11" t="s">
        <v>23</v>
      </c>
      <c r="C71" s="15" t="s">
        <v>47</v>
      </c>
      <c r="D71" s="13" t="s">
        <v>312</v>
      </c>
      <c r="E71" s="13" t="s">
        <v>313</v>
      </c>
      <c r="F71" s="13" t="s">
        <v>314</v>
      </c>
      <c r="G71" s="31"/>
      <c r="H71" s="14" t="s">
        <v>13</v>
      </c>
      <c r="I71" s="13"/>
    </row>
    <row r="72" spans="1:9" x14ac:dyDescent="0.3">
      <c r="A72" s="11" t="s">
        <v>315</v>
      </c>
      <c r="B72" s="11" t="s">
        <v>23</v>
      </c>
      <c r="C72" s="15" t="s">
        <v>47</v>
      </c>
      <c r="D72" s="13" t="s">
        <v>316</v>
      </c>
      <c r="E72" s="13" t="s">
        <v>317</v>
      </c>
      <c r="F72" s="13" t="s">
        <v>318</v>
      </c>
      <c r="G72" s="31"/>
      <c r="H72" s="14" t="s">
        <v>13</v>
      </c>
      <c r="I72" s="13"/>
    </row>
    <row r="73" spans="1:9" x14ac:dyDescent="0.3">
      <c r="A73" s="11" t="s">
        <v>319</v>
      </c>
      <c r="B73" s="11" t="s">
        <v>23</v>
      </c>
      <c r="C73" s="15" t="s">
        <v>47</v>
      </c>
      <c r="D73" s="13" t="s">
        <v>320</v>
      </c>
      <c r="E73" s="13" t="s">
        <v>321</v>
      </c>
      <c r="F73" s="13" t="s">
        <v>322</v>
      </c>
      <c r="G73" s="31"/>
      <c r="H73" s="14" t="s">
        <v>13</v>
      </c>
      <c r="I73" s="13"/>
    </row>
    <row r="74" spans="1:9" x14ac:dyDescent="0.3">
      <c r="A74" s="11" t="s">
        <v>323</v>
      </c>
      <c r="B74" s="11" t="s">
        <v>23</v>
      </c>
      <c r="C74" s="15" t="s">
        <v>47</v>
      </c>
      <c r="D74" s="13" t="s">
        <v>324</v>
      </c>
      <c r="E74" s="13" t="s">
        <v>325</v>
      </c>
      <c r="F74" s="13" t="s">
        <v>326</v>
      </c>
      <c r="G74" s="31"/>
      <c r="H74" s="14" t="s">
        <v>13</v>
      </c>
      <c r="I74" s="13"/>
    </row>
    <row r="75" spans="1:9" x14ac:dyDescent="0.3">
      <c r="A75" s="11" t="s">
        <v>327</v>
      </c>
      <c r="B75" s="11" t="s">
        <v>23</v>
      </c>
      <c r="C75" s="15" t="s">
        <v>47</v>
      </c>
      <c r="D75" s="13" t="s">
        <v>328</v>
      </c>
      <c r="E75" s="13" t="s">
        <v>329</v>
      </c>
      <c r="F75" s="13" t="s">
        <v>330</v>
      </c>
      <c r="G75" s="31"/>
      <c r="H75" s="14" t="s">
        <v>13</v>
      </c>
      <c r="I75" s="13"/>
    </row>
    <row r="76" spans="1:9" ht="26.4" x14ac:dyDescent="0.3">
      <c r="A76" s="11" t="s">
        <v>331</v>
      </c>
      <c r="B76" s="11" t="s">
        <v>23</v>
      </c>
      <c r="C76" s="15" t="s">
        <v>47</v>
      </c>
      <c r="D76" s="13" t="s">
        <v>332</v>
      </c>
      <c r="E76" s="13" t="s">
        <v>333</v>
      </c>
      <c r="F76" s="13" t="s">
        <v>334</v>
      </c>
      <c r="G76" s="31"/>
      <c r="H76" s="14" t="s">
        <v>13</v>
      </c>
      <c r="I76" s="13"/>
    </row>
    <row r="77" spans="1:9" x14ac:dyDescent="0.3">
      <c r="A77" s="11" t="s">
        <v>335</v>
      </c>
      <c r="B77" s="11" t="s">
        <v>23</v>
      </c>
      <c r="C77" s="16" t="s">
        <v>68</v>
      </c>
      <c r="D77" s="13" t="s">
        <v>336</v>
      </c>
      <c r="E77" s="13" t="s">
        <v>337</v>
      </c>
      <c r="F77" s="13" t="s">
        <v>338</v>
      </c>
      <c r="G77" s="31"/>
      <c r="H77" s="14" t="s">
        <v>13</v>
      </c>
      <c r="I77" s="13"/>
    </row>
    <row r="78" spans="1:9" x14ac:dyDescent="0.3">
      <c r="A78" s="11" t="s">
        <v>339</v>
      </c>
      <c r="B78" s="11" t="s">
        <v>23</v>
      </c>
      <c r="C78" s="16" t="s">
        <v>68</v>
      </c>
      <c r="D78" s="13" t="s">
        <v>340</v>
      </c>
      <c r="E78" s="13" t="s">
        <v>341</v>
      </c>
      <c r="F78" s="13" t="s">
        <v>342</v>
      </c>
      <c r="G78" s="31"/>
      <c r="H78" s="14" t="s">
        <v>13</v>
      </c>
      <c r="I78" s="13"/>
    </row>
    <row r="79" spans="1:9" x14ac:dyDescent="0.3">
      <c r="A79" s="11" t="s">
        <v>343</v>
      </c>
      <c r="B79" s="11" t="s">
        <v>23</v>
      </c>
      <c r="C79" s="16" t="s">
        <v>68</v>
      </c>
      <c r="D79" s="13" t="s">
        <v>344</v>
      </c>
      <c r="E79" s="13" t="s">
        <v>345</v>
      </c>
      <c r="F79" s="13" t="s">
        <v>346</v>
      </c>
      <c r="G79" s="31"/>
      <c r="H79" s="14" t="s">
        <v>13</v>
      </c>
      <c r="I79" s="13"/>
    </row>
    <row r="80" spans="1:9" x14ac:dyDescent="0.3">
      <c r="A80" s="11" t="s">
        <v>347</v>
      </c>
      <c r="B80" s="11" t="s">
        <v>23</v>
      </c>
      <c r="C80" s="16" t="s">
        <v>68</v>
      </c>
      <c r="D80" s="13" t="s">
        <v>348</v>
      </c>
      <c r="E80" s="13" t="s">
        <v>349</v>
      </c>
      <c r="F80" s="13" t="s">
        <v>350</v>
      </c>
      <c r="G80" s="31"/>
      <c r="H80" s="14" t="s">
        <v>13</v>
      </c>
      <c r="I80" s="13"/>
    </row>
    <row r="81" spans="1:9" ht="26.4" x14ac:dyDescent="0.3">
      <c r="A81" s="11" t="s">
        <v>351</v>
      </c>
      <c r="B81" s="11" t="s">
        <v>23</v>
      </c>
      <c r="C81" s="16" t="s">
        <v>68</v>
      </c>
      <c r="D81" s="13" t="s">
        <v>352</v>
      </c>
      <c r="E81" s="13" t="s">
        <v>353</v>
      </c>
      <c r="F81" s="13" t="s">
        <v>354</v>
      </c>
      <c r="G81" s="31"/>
      <c r="H81" s="14" t="s">
        <v>13</v>
      </c>
      <c r="I81" s="13" t="s">
        <v>355</v>
      </c>
    </row>
    <row r="82" spans="1:9" x14ac:dyDescent="0.3">
      <c r="A82" s="11" t="s">
        <v>356</v>
      </c>
      <c r="B82" s="11" t="s">
        <v>24</v>
      </c>
      <c r="C82" s="12" t="s">
        <v>38</v>
      </c>
      <c r="D82" s="13" t="s">
        <v>357</v>
      </c>
      <c r="E82" s="13" t="s">
        <v>358</v>
      </c>
      <c r="F82" s="13" t="s">
        <v>359</v>
      </c>
      <c r="G82" s="31"/>
      <c r="H82" s="14" t="s">
        <v>13</v>
      </c>
      <c r="I82" s="13"/>
    </row>
    <row r="83" spans="1:9" x14ac:dyDescent="0.3">
      <c r="A83" s="11" t="s">
        <v>360</v>
      </c>
      <c r="B83" s="11" t="s">
        <v>24</v>
      </c>
      <c r="C83" s="12" t="s">
        <v>38</v>
      </c>
      <c r="D83" s="13" t="s">
        <v>361</v>
      </c>
      <c r="E83" s="13" t="s">
        <v>362</v>
      </c>
      <c r="F83" s="13" t="s">
        <v>363</v>
      </c>
      <c r="G83" s="31"/>
      <c r="H83" s="14" t="s">
        <v>13</v>
      </c>
      <c r="I83" s="13"/>
    </row>
    <row r="84" spans="1:9" x14ac:dyDescent="0.3">
      <c r="A84" s="11" t="s">
        <v>364</v>
      </c>
      <c r="B84" s="11" t="s">
        <v>24</v>
      </c>
      <c r="C84" s="15" t="s">
        <v>47</v>
      </c>
      <c r="D84" s="13" t="s">
        <v>365</v>
      </c>
      <c r="E84" s="13" t="s">
        <v>366</v>
      </c>
      <c r="F84" s="13" t="s">
        <v>367</v>
      </c>
      <c r="G84" s="31"/>
      <c r="H84" s="14" t="s">
        <v>13</v>
      </c>
      <c r="I84" s="13" t="s">
        <v>368</v>
      </c>
    </row>
    <row r="85" spans="1:9" x14ac:dyDescent="0.3">
      <c r="A85" s="11" t="s">
        <v>369</v>
      </c>
      <c r="B85" s="11" t="s">
        <v>24</v>
      </c>
      <c r="C85" s="15" t="s">
        <v>47</v>
      </c>
      <c r="D85" s="13" t="s">
        <v>370</v>
      </c>
      <c r="E85" s="13" t="s">
        <v>371</v>
      </c>
      <c r="F85" s="13" t="s">
        <v>372</v>
      </c>
      <c r="G85" s="31"/>
      <c r="H85" s="14" t="s">
        <v>13</v>
      </c>
      <c r="I85" s="13"/>
    </row>
    <row r="86" spans="1:9" x14ac:dyDescent="0.3">
      <c r="A86" s="11" t="s">
        <v>373</v>
      </c>
      <c r="B86" s="11" t="s">
        <v>24</v>
      </c>
      <c r="C86" s="15" t="s">
        <v>47</v>
      </c>
      <c r="D86" s="13" t="s">
        <v>374</v>
      </c>
      <c r="E86" s="13" t="s">
        <v>375</v>
      </c>
      <c r="F86" s="13" t="s">
        <v>376</v>
      </c>
      <c r="G86" s="31"/>
      <c r="H86" s="14" t="s">
        <v>13</v>
      </c>
      <c r="I86" s="13"/>
    </row>
    <row r="87" spans="1:9" x14ac:dyDescent="0.3">
      <c r="A87" s="11" t="s">
        <v>377</v>
      </c>
      <c r="B87" s="11" t="s">
        <v>24</v>
      </c>
      <c r="C87" s="15" t="s">
        <v>47</v>
      </c>
      <c r="D87" s="13" t="s">
        <v>378</v>
      </c>
      <c r="E87" s="13" t="s">
        <v>379</v>
      </c>
      <c r="F87" s="13" t="s">
        <v>380</v>
      </c>
      <c r="G87" s="31"/>
      <c r="H87" s="14" t="s">
        <v>13</v>
      </c>
      <c r="I87" s="13"/>
    </row>
    <row r="88" spans="1:9" x14ac:dyDescent="0.3">
      <c r="A88" s="11" t="s">
        <v>381</v>
      </c>
      <c r="B88" s="11" t="s">
        <v>24</v>
      </c>
      <c r="C88" s="15" t="s">
        <v>47</v>
      </c>
      <c r="D88" s="13" t="s">
        <v>382</v>
      </c>
      <c r="E88" s="13" t="s">
        <v>383</v>
      </c>
      <c r="F88" s="13" t="s">
        <v>384</v>
      </c>
      <c r="G88" s="31"/>
      <c r="H88" s="14" t="s">
        <v>13</v>
      </c>
      <c r="I88" s="13"/>
    </row>
    <row r="89" spans="1:9" ht="26.4" x14ac:dyDescent="0.3">
      <c r="A89" s="11" t="s">
        <v>385</v>
      </c>
      <c r="B89" s="11" t="s">
        <v>24</v>
      </c>
      <c r="C89" s="15" t="s">
        <v>47</v>
      </c>
      <c r="D89" s="13" t="s">
        <v>386</v>
      </c>
      <c r="E89" s="13" t="s">
        <v>387</v>
      </c>
      <c r="F89" s="13" t="s">
        <v>388</v>
      </c>
      <c r="G89" s="31"/>
      <c r="H89" s="14" t="s">
        <v>13</v>
      </c>
      <c r="I89" s="13"/>
    </row>
    <row r="90" spans="1:9" ht="26.4" x14ac:dyDescent="0.3">
      <c r="A90" s="11" t="s">
        <v>389</v>
      </c>
      <c r="B90" s="11" t="s">
        <v>24</v>
      </c>
      <c r="C90" s="15" t="s">
        <v>47</v>
      </c>
      <c r="D90" s="13" t="s">
        <v>390</v>
      </c>
      <c r="E90" s="13" t="s">
        <v>391</v>
      </c>
      <c r="F90" s="13" t="s">
        <v>392</v>
      </c>
      <c r="G90" s="31"/>
      <c r="H90" s="14" t="s">
        <v>13</v>
      </c>
      <c r="I90" s="13"/>
    </row>
    <row r="91" spans="1:9" x14ac:dyDescent="0.3">
      <c r="A91" s="11" t="s">
        <v>393</v>
      </c>
      <c r="B91" s="11" t="s">
        <v>24</v>
      </c>
      <c r="C91" s="16" t="s">
        <v>68</v>
      </c>
      <c r="D91" s="13" t="s">
        <v>394</v>
      </c>
      <c r="E91" s="13" t="s">
        <v>395</v>
      </c>
      <c r="F91" s="13" t="s">
        <v>396</v>
      </c>
      <c r="G91" s="31"/>
      <c r="H91" s="14" t="s">
        <v>13</v>
      </c>
      <c r="I91" s="13" t="s">
        <v>397</v>
      </c>
    </row>
    <row r="92" spans="1:9" x14ac:dyDescent="0.3">
      <c r="A92" s="11" t="s">
        <v>398</v>
      </c>
      <c r="B92" s="11" t="s">
        <v>24</v>
      </c>
      <c r="C92" s="16" t="s">
        <v>68</v>
      </c>
      <c r="D92" s="13" t="s">
        <v>399</v>
      </c>
      <c r="E92" s="13" t="s">
        <v>400</v>
      </c>
      <c r="F92" s="13" t="s">
        <v>401</v>
      </c>
      <c r="G92" s="31"/>
      <c r="H92" s="14" t="s">
        <v>13</v>
      </c>
      <c r="I92" s="13"/>
    </row>
    <row r="93" spans="1:9" x14ac:dyDescent="0.3">
      <c r="A93" s="11" t="s">
        <v>402</v>
      </c>
      <c r="B93" s="11" t="s">
        <v>24</v>
      </c>
      <c r="C93" s="16" t="s">
        <v>68</v>
      </c>
      <c r="D93" s="13" t="s">
        <v>403</v>
      </c>
      <c r="E93" s="13" t="s">
        <v>404</v>
      </c>
      <c r="F93" s="13" t="s">
        <v>405</v>
      </c>
      <c r="G93" s="31"/>
      <c r="H93" s="14" t="s">
        <v>13</v>
      </c>
      <c r="I93" s="13"/>
    </row>
    <row r="94" spans="1:9" x14ac:dyDescent="0.3">
      <c r="A94" s="11" t="s">
        <v>406</v>
      </c>
      <c r="B94" s="11" t="s">
        <v>24</v>
      </c>
      <c r="C94" s="16" t="s">
        <v>68</v>
      </c>
      <c r="D94" s="13" t="s">
        <v>407</v>
      </c>
      <c r="E94" s="13" t="s">
        <v>408</v>
      </c>
      <c r="F94" s="13" t="s">
        <v>409</v>
      </c>
      <c r="G94" s="31"/>
      <c r="H94" s="14" t="s">
        <v>13</v>
      </c>
      <c r="I94" s="13"/>
    </row>
    <row r="95" spans="1:9" x14ac:dyDescent="0.3">
      <c r="A95" s="11" t="s">
        <v>410</v>
      </c>
      <c r="B95" s="11" t="s">
        <v>24</v>
      </c>
      <c r="C95" s="16" t="s">
        <v>68</v>
      </c>
      <c r="D95" s="13" t="s">
        <v>411</v>
      </c>
      <c r="E95" s="13" t="s">
        <v>412</v>
      </c>
      <c r="F95" s="13" t="s">
        <v>413</v>
      </c>
      <c r="G95" s="31"/>
      <c r="H95" s="14" t="s">
        <v>13</v>
      </c>
      <c r="I95" s="13"/>
    </row>
    <row r="96" spans="1:9" ht="26.4" x14ac:dyDescent="0.3">
      <c r="A96" s="11" t="s">
        <v>414</v>
      </c>
      <c r="B96" s="11" t="s">
        <v>25</v>
      </c>
      <c r="C96" s="12" t="s">
        <v>38</v>
      </c>
      <c r="D96" s="13" t="s">
        <v>415</v>
      </c>
      <c r="E96" s="13" t="s">
        <v>416</v>
      </c>
      <c r="F96" s="13" t="s">
        <v>417</v>
      </c>
      <c r="G96" s="31"/>
      <c r="H96" s="14" t="s">
        <v>13</v>
      </c>
      <c r="I96" s="13"/>
    </row>
    <row r="97" spans="1:9" x14ac:dyDescent="0.3">
      <c r="A97" s="11" t="s">
        <v>418</v>
      </c>
      <c r="B97" s="11" t="s">
        <v>25</v>
      </c>
      <c r="C97" s="12" t="s">
        <v>38</v>
      </c>
      <c r="D97" s="13" t="s">
        <v>419</v>
      </c>
      <c r="E97" s="13" t="s">
        <v>420</v>
      </c>
      <c r="F97" s="13" t="s">
        <v>421</v>
      </c>
      <c r="G97" s="31"/>
      <c r="H97" s="14" t="s">
        <v>13</v>
      </c>
      <c r="I97" s="13"/>
    </row>
    <row r="98" spans="1:9" x14ac:dyDescent="0.3">
      <c r="A98" s="11" t="s">
        <v>422</v>
      </c>
      <c r="B98" s="11" t="s">
        <v>25</v>
      </c>
      <c r="C98" s="12" t="s">
        <v>38</v>
      </c>
      <c r="D98" s="13" t="s">
        <v>423</v>
      </c>
      <c r="E98" s="13" t="s">
        <v>424</v>
      </c>
      <c r="F98" s="13" t="s">
        <v>425</v>
      </c>
      <c r="G98" s="31"/>
      <c r="H98" s="14" t="s">
        <v>13</v>
      </c>
      <c r="I98" s="13"/>
    </row>
    <row r="99" spans="1:9" x14ac:dyDescent="0.3">
      <c r="A99" s="11" t="s">
        <v>426</v>
      </c>
      <c r="B99" s="11" t="s">
        <v>25</v>
      </c>
      <c r="C99" s="12" t="s">
        <v>38</v>
      </c>
      <c r="D99" s="13" t="s">
        <v>427</v>
      </c>
      <c r="E99" s="13" t="s">
        <v>428</v>
      </c>
      <c r="F99" s="13" t="s">
        <v>429</v>
      </c>
      <c r="G99" s="31"/>
      <c r="H99" s="14" t="s">
        <v>13</v>
      </c>
      <c r="I99" s="13"/>
    </row>
    <row r="100" spans="1:9" ht="26.4" x14ac:dyDescent="0.3">
      <c r="A100" s="11" t="s">
        <v>430</v>
      </c>
      <c r="B100" s="11" t="s">
        <v>25</v>
      </c>
      <c r="C100" s="12" t="s">
        <v>38</v>
      </c>
      <c r="D100" s="13" t="s">
        <v>431</v>
      </c>
      <c r="E100" s="13" t="s">
        <v>432</v>
      </c>
      <c r="F100" s="13" t="s">
        <v>433</v>
      </c>
      <c r="G100" s="31"/>
      <c r="H100" s="14" t="s">
        <v>13</v>
      </c>
      <c r="I100" s="13"/>
    </row>
    <row r="101" spans="1:9" x14ac:dyDescent="0.3">
      <c r="A101" s="11" t="s">
        <v>434</v>
      </c>
      <c r="B101" s="11" t="s">
        <v>25</v>
      </c>
      <c r="C101" s="15" t="s">
        <v>47</v>
      </c>
      <c r="D101" s="13" t="s">
        <v>435</v>
      </c>
      <c r="E101" s="13" t="s">
        <v>436</v>
      </c>
      <c r="F101" s="13" t="s">
        <v>437</v>
      </c>
      <c r="G101" s="31"/>
      <c r="H101" s="14" t="s">
        <v>13</v>
      </c>
      <c r="I101" s="13"/>
    </row>
    <row r="102" spans="1:9" x14ac:dyDescent="0.3">
      <c r="A102" s="11" t="s">
        <v>438</v>
      </c>
      <c r="B102" s="11" t="s">
        <v>25</v>
      </c>
      <c r="C102" s="15" t="s">
        <v>47</v>
      </c>
      <c r="D102" s="13" t="s">
        <v>439</v>
      </c>
      <c r="E102" s="13" t="s">
        <v>440</v>
      </c>
      <c r="F102" s="13" t="s">
        <v>441</v>
      </c>
      <c r="G102" s="31"/>
      <c r="H102" s="14" t="s">
        <v>13</v>
      </c>
      <c r="I102" s="13"/>
    </row>
    <row r="103" spans="1:9" x14ac:dyDescent="0.3">
      <c r="A103" s="11" t="s">
        <v>442</v>
      </c>
      <c r="B103" s="11" t="s">
        <v>25</v>
      </c>
      <c r="C103" s="15" t="s">
        <v>47</v>
      </c>
      <c r="D103" s="13" t="s">
        <v>443</v>
      </c>
      <c r="E103" s="13" t="s">
        <v>362</v>
      </c>
      <c r="F103" s="13" t="s">
        <v>444</v>
      </c>
      <c r="G103" s="31"/>
      <c r="H103" s="14" t="s">
        <v>13</v>
      </c>
      <c r="I103" s="13"/>
    </row>
    <row r="104" spans="1:9" x14ac:dyDescent="0.3">
      <c r="A104" s="11" t="s">
        <v>445</v>
      </c>
      <c r="B104" s="11" t="s">
        <v>25</v>
      </c>
      <c r="C104" s="15" t="s">
        <v>47</v>
      </c>
      <c r="D104" s="13" t="s">
        <v>374</v>
      </c>
      <c r="E104" s="13" t="s">
        <v>446</v>
      </c>
      <c r="F104" s="13" t="s">
        <v>447</v>
      </c>
      <c r="G104" s="31"/>
      <c r="H104" s="14" t="s">
        <v>13</v>
      </c>
      <c r="I104" s="13"/>
    </row>
    <row r="105" spans="1:9" ht="26.4" x14ac:dyDescent="0.3">
      <c r="A105" s="11" t="s">
        <v>448</v>
      </c>
      <c r="B105" s="11" t="s">
        <v>25</v>
      </c>
      <c r="C105" s="15" t="s">
        <v>47</v>
      </c>
      <c r="D105" s="13" t="s">
        <v>449</v>
      </c>
      <c r="E105" s="13" t="s">
        <v>450</v>
      </c>
      <c r="F105" s="13" t="s">
        <v>451</v>
      </c>
      <c r="G105" s="31"/>
      <c r="H105" s="14" t="s">
        <v>13</v>
      </c>
      <c r="I105" s="13"/>
    </row>
    <row r="106" spans="1:9" ht="26.4" x14ac:dyDescent="0.3">
      <c r="A106" s="11" t="s">
        <v>452</v>
      </c>
      <c r="B106" s="11" t="s">
        <v>25</v>
      </c>
      <c r="C106" s="15" t="s">
        <v>47</v>
      </c>
      <c r="D106" s="13" t="s">
        <v>453</v>
      </c>
      <c r="E106" s="13" t="s">
        <v>454</v>
      </c>
      <c r="F106" s="13" t="s">
        <v>455</v>
      </c>
      <c r="G106" s="31"/>
      <c r="H106" s="14" t="s">
        <v>13</v>
      </c>
      <c r="I106" s="13" t="s">
        <v>456</v>
      </c>
    </row>
    <row r="107" spans="1:9" x14ac:dyDescent="0.3">
      <c r="A107" s="11" t="s">
        <v>457</v>
      </c>
      <c r="B107" s="11" t="s">
        <v>25</v>
      </c>
      <c r="C107" s="15" t="s">
        <v>47</v>
      </c>
      <c r="D107" s="13" t="s">
        <v>458</v>
      </c>
      <c r="E107" s="13" t="s">
        <v>459</v>
      </c>
      <c r="F107" s="13" t="s">
        <v>460</v>
      </c>
      <c r="G107" s="31"/>
      <c r="H107" s="14" t="s">
        <v>13</v>
      </c>
      <c r="I107" s="13"/>
    </row>
    <row r="108" spans="1:9" x14ac:dyDescent="0.3">
      <c r="A108" s="11" t="s">
        <v>461</v>
      </c>
      <c r="B108" s="11" t="s">
        <v>25</v>
      </c>
      <c r="C108" s="15" t="s">
        <v>47</v>
      </c>
      <c r="D108" s="13" t="s">
        <v>462</v>
      </c>
      <c r="E108" s="13" t="s">
        <v>463</v>
      </c>
      <c r="F108" s="13" t="s">
        <v>464</v>
      </c>
      <c r="G108" s="31"/>
      <c r="H108" s="14" t="s">
        <v>13</v>
      </c>
      <c r="I108" s="13"/>
    </row>
    <row r="109" spans="1:9" ht="26.4" x14ac:dyDescent="0.3">
      <c r="A109" s="11" t="s">
        <v>465</v>
      </c>
      <c r="B109" s="11" t="s">
        <v>25</v>
      </c>
      <c r="C109" s="15" t="s">
        <v>47</v>
      </c>
      <c r="D109" s="13" t="s">
        <v>466</v>
      </c>
      <c r="E109" s="13" t="s">
        <v>467</v>
      </c>
      <c r="F109" s="13" t="s">
        <v>468</v>
      </c>
      <c r="G109" s="31"/>
      <c r="H109" s="14" t="s">
        <v>13</v>
      </c>
      <c r="I109" s="13"/>
    </row>
    <row r="110" spans="1:9" ht="26.4" x14ac:dyDescent="0.3">
      <c r="A110" s="11" t="s">
        <v>469</v>
      </c>
      <c r="B110" s="11" t="s">
        <v>25</v>
      </c>
      <c r="C110" s="16" t="s">
        <v>68</v>
      </c>
      <c r="D110" s="13" t="s">
        <v>470</v>
      </c>
      <c r="E110" s="13" t="s">
        <v>471</v>
      </c>
      <c r="F110" s="13" t="s">
        <v>447</v>
      </c>
      <c r="G110" s="31"/>
      <c r="H110" s="14" t="s">
        <v>13</v>
      </c>
      <c r="I110" s="13"/>
    </row>
    <row r="111" spans="1:9" x14ac:dyDescent="0.3">
      <c r="A111" s="11" t="s">
        <v>472</v>
      </c>
      <c r="B111" s="11" t="s">
        <v>25</v>
      </c>
      <c r="C111" s="16" t="s">
        <v>68</v>
      </c>
      <c r="D111" s="13" t="s">
        <v>473</v>
      </c>
      <c r="E111" s="13" t="s">
        <v>474</v>
      </c>
      <c r="F111" s="13" t="s">
        <v>475</v>
      </c>
      <c r="G111" s="31"/>
      <c r="H111" s="14" t="s">
        <v>13</v>
      </c>
      <c r="I111" s="13"/>
    </row>
    <row r="112" spans="1:9" x14ac:dyDescent="0.3">
      <c r="A112" s="11" t="s">
        <v>476</v>
      </c>
      <c r="B112" s="11" t="s">
        <v>25</v>
      </c>
      <c r="C112" s="16" t="s">
        <v>68</v>
      </c>
      <c r="D112" s="13" t="s">
        <v>477</v>
      </c>
      <c r="E112" s="13" t="s">
        <v>478</v>
      </c>
      <c r="F112" s="13" t="s">
        <v>479</v>
      </c>
      <c r="G112" s="31"/>
      <c r="H112" s="14" t="s">
        <v>13</v>
      </c>
      <c r="I112" s="13"/>
    </row>
    <row r="113" spans="1:9" x14ac:dyDescent="0.3">
      <c r="A113" s="11" t="s">
        <v>480</v>
      </c>
      <c r="B113" s="11" t="s">
        <v>25</v>
      </c>
      <c r="C113" s="16" t="s">
        <v>68</v>
      </c>
      <c r="D113" s="13" t="s">
        <v>481</v>
      </c>
      <c r="E113" s="13" t="s">
        <v>482</v>
      </c>
      <c r="F113" s="13" t="s">
        <v>483</v>
      </c>
      <c r="G113" s="31"/>
      <c r="H113" s="14" t="s">
        <v>13</v>
      </c>
      <c r="I113" s="13"/>
    </row>
    <row r="114" spans="1:9" x14ac:dyDescent="0.3">
      <c r="A114" s="11" t="s">
        <v>484</v>
      </c>
      <c r="B114" s="11" t="s">
        <v>25</v>
      </c>
      <c r="C114" s="16" t="s">
        <v>68</v>
      </c>
      <c r="D114" s="13" t="s">
        <v>485</v>
      </c>
      <c r="E114" s="13" t="s">
        <v>486</v>
      </c>
      <c r="F114" s="13" t="s">
        <v>487</v>
      </c>
      <c r="G114" s="31"/>
      <c r="H114" s="14" t="s">
        <v>13</v>
      </c>
      <c r="I114" s="13"/>
    </row>
    <row r="115" spans="1:9" x14ac:dyDescent="0.3">
      <c r="A115" s="11" t="s">
        <v>488</v>
      </c>
      <c r="B115" s="11" t="s">
        <v>25</v>
      </c>
      <c r="C115" s="16" t="s">
        <v>68</v>
      </c>
      <c r="D115" s="13" t="s">
        <v>489</v>
      </c>
      <c r="E115" s="13" t="s">
        <v>490</v>
      </c>
      <c r="F115" s="13" t="s">
        <v>491</v>
      </c>
      <c r="G115" s="31"/>
      <c r="H115" s="14" t="s">
        <v>13</v>
      </c>
      <c r="I115" s="13"/>
    </row>
    <row r="116" spans="1:9" ht="26.4" x14ac:dyDescent="0.3">
      <c r="A116" s="11" t="s">
        <v>492</v>
      </c>
      <c r="B116" s="11" t="s">
        <v>26</v>
      </c>
      <c r="C116" s="12" t="s">
        <v>38</v>
      </c>
      <c r="D116" s="13" t="s">
        <v>493</v>
      </c>
      <c r="E116" s="13" t="s">
        <v>494</v>
      </c>
      <c r="F116" s="13" t="s">
        <v>495</v>
      </c>
      <c r="G116" s="31"/>
      <c r="H116" s="14" t="s">
        <v>13</v>
      </c>
      <c r="I116" s="13"/>
    </row>
    <row r="117" spans="1:9" x14ac:dyDescent="0.3">
      <c r="A117" s="11" t="s">
        <v>496</v>
      </c>
      <c r="B117" s="11" t="s">
        <v>26</v>
      </c>
      <c r="C117" s="12" t="s">
        <v>38</v>
      </c>
      <c r="D117" s="13" t="s">
        <v>497</v>
      </c>
      <c r="E117" s="13" t="s">
        <v>498</v>
      </c>
      <c r="F117" s="13" t="s">
        <v>499</v>
      </c>
      <c r="G117" s="31"/>
      <c r="H117" s="14" t="s">
        <v>13</v>
      </c>
      <c r="I117" s="13"/>
    </row>
    <row r="118" spans="1:9" x14ac:dyDescent="0.3">
      <c r="A118" s="11" t="s">
        <v>500</v>
      </c>
      <c r="B118" s="11" t="s">
        <v>26</v>
      </c>
      <c r="C118" s="12" t="s">
        <v>38</v>
      </c>
      <c r="D118" s="13" t="s">
        <v>501</v>
      </c>
      <c r="E118" s="13" t="s">
        <v>502</v>
      </c>
      <c r="F118" s="13" t="s">
        <v>503</v>
      </c>
      <c r="G118" s="31"/>
      <c r="H118" s="14" t="s">
        <v>13</v>
      </c>
      <c r="I118" s="13"/>
    </row>
    <row r="119" spans="1:9" x14ac:dyDescent="0.3">
      <c r="A119" s="11" t="s">
        <v>504</v>
      </c>
      <c r="B119" s="11" t="s">
        <v>26</v>
      </c>
      <c r="C119" s="15" t="s">
        <v>47</v>
      </c>
      <c r="D119" s="13" t="s">
        <v>505</v>
      </c>
      <c r="E119" s="13" t="s">
        <v>506</v>
      </c>
      <c r="F119" s="13" t="s">
        <v>507</v>
      </c>
      <c r="G119" s="31"/>
      <c r="H119" s="14" t="s">
        <v>13</v>
      </c>
      <c r="I119" s="13"/>
    </row>
    <row r="120" spans="1:9" x14ac:dyDescent="0.3">
      <c r="A120" s="11" t="s">
        <v>508</v>
      </c>
      <c r="B120" s="11" t="s">
        <v>26</v>
      </c>
      <c r="C120" s="15" t="s">
        <v>47</v>
      </c>
      <c r="D120" s="13" t="s">
        <v>509</v>
      </c>
      <c r="E120" s="13" t="s">
        <v>510</v>
      </c>
      <c r="F120" s="13" t="s">
        <v>507</v>
      </c>
      <c r="G120" s="31"/>
      <c r="H120" s="14" t="s">
        <v>13</v>
      </c>
      <c r="I120" s="13"/>
    </row>
    <row r="121" spans="1:9" ht="26.4" x14ac:dyDescent="0.3">
      <c r="A121" s="11" t="s">
        <v>511</v>
      </c>
      <c r="B121" s="11" t="s">
        <v>26</v>
      </c>
      <c r="C121" s="15" t="s">
        <v>47</v>
      </c>
      <c r="D121" s="13" t="s">
        <v>512</v>
      </c>
      <c r="E121" s="13" t="s">
        <v>513</v>
      </c>
      <c r="F121" s="13" t="s">
        <v>514</v>
      </c>
      <c r="G121" s="31"/>
      <c r="H121" s="14" t="s">
        <v>13</v>
      </c>
      <c r="I121" s="13"/>
    </row>
    <row r="122" spans="1:9" x14ac:dyDescent="0.3">
      <c r="A122" s="11" t="s">
        <v>515</v>
      </c>
      <c r="B122" s="11" t="s">
        <v>26</v>
      </c>
      <c r="C122" s="15" t="s">
        <v>47</v>
      </c>
      <c r="D122" s="13" t="s">
        <v>516</v>
      </c>
      <c r="E122" s="13" t="s">
        <v>517</v>
      </c>
      <c r="F122" s="13" t="s">
        <v>518</v>
      </c>
      <c r="G122" s="31"/>
      <c r="H122" s="14" t="s">
        <v>13</v>
      </c>
      <c r="I122" s="13"/>
    </row>
    <row r="123" spans="1:9" x14ac:dyDescent="0.3">
      <c r="A123" s="11" t="s">
        <v>519</v>
      </c>
      <c r="B123" s="11" t="s">
        <v>26</v>
      </c>
      <c r="C123" s="15" t="s">
        <v>47</v>
      </c>
      <c r="D123" s="13" t="s">
        <v>520</v>
      </c>
      <c r="E123" s="13" t="s">
        <v>521</v>
      </c>
      <c r="F123" s="13" t="s">
        <v>522</v>
      </c>
      <c r="G123" s="31"/>
      <c r="H123" s="14" t="s">
        <v>13</v>
      </c>
      <c r="I123" s="13"/>
    </row>
    <row r="124" spans="1:9" x14ac:dyDescent="0.3">
      <c r="A124" s="11" t="s">
        <v>523</v>
      </c>
      <c r="B124" s="11" t="s">
        <v>26</v>
      </c>
      <c r="C124" s="15" t="s">
        <v>47</v>
      </c>
      <c r="D124" s="13" t="s">
        <v>524</v>
      </c>
      <c r="E124" s="13" t="s">
        <v>525</v>
      </c>
      <c r="F124" s="13" t="s">
        <v>526</v>
      </c>
      <c r="G124" s="31"/>
      <c r="H124" s="14" t="s">
        <v>13</v>
      </c>
      <c r="I124" s="13"/>
    </row>
    <row r="125" spans="1:9" ht="26.4" x14ac:dyDescent="0.3">
      <c r="A125" s="11" t="s">
        <v>527</v>
      </c>
      <c r="B125" s="11" t="s">
        <v>26</v>
      </c>
      <c r="C125" s="15" t="s">
        <v>47</v>
      </c>
      <c r="D125" s="13" t="s">
        <v>528</v>
      </c>
      <c r="E125" s="13" t="s">
        <v>529</v>
      </c>
      <c r="F125" s="13" t="s">
        <v>530</v>
      </c>
      <c r="G125" s="31"/>
      <c r="H125" s="14" t="s">
        <v>13</v>
      </c>
      <c r="I125" s="13" t="s">
        <v>531</v>
      </c>
    </row>
    <row r="126" spans="1:9" ht="26.4" x14ac:dyDescent="0.3">
      <c r="A126" s="11" t="s">
        <v>532</v>
      </c>
      <c r="B126" s="11" t="s">
        <v>26</v>
      </c>
      <c r="C126" s="15" t="s">
        <v>47</v>
      </c>
      <c r="D126" s="13" t="s">
        <v>533</v>
      </c>
      <c r="E126" s="13" t="s">
        <v>534</v>
      </c>
      <c r="F126" s="13" t="s">
        <v>535</v>
      </c>
      <c r="G126" s="31"/>
      <c r="H126" s="14" t="s">
        <v>13</v>
      </c>
      <c r="I126" s="13"/>
    </row>
    <row r="127" spans="1:9" x14ac:dyDescent="0.3">
      <c r="A127" s="11" t="s">
        <v>536</v>
      </c>
      <c r="B127" s="11" t="s">
        <v>26</v>
      </c>
      <c r="C127" s="15" t="s">
        <v>47</v>
      </c>
      <c r="D127" s="13" t="s">
        <v>537</v>
      </c>
      <c r="E127" s="13" t="s">
        <v>538</v>
      </c>
      <c r="F127" s="13" t="s">
        <v>318</v>
      </c>
      <c r="G127" s="31"/>
      <c r="H127" s="14" t="s">
        <v>13</v>
      </c>
      <c r="I127" s="13"/>
    </row>
    <row r="128" spans="1:9" x14ac:dyDescent="0.3">
      <c r="A128" s="11" t="s">
        <v>539</v>
      </c>
      <c r="B128" s="11" t="s">
        <v>26</v>
      </c>
      <c r="C128" s="16" t="s">
        <v>68</v>
      </c>
      <c r="D128" s="13" t="s">
        <v>540</v>
      </c>
      <c r="E128" s="13" t="s">
        <v>541</v>
      </c>
      <c r="F128" s="13" t="s">
        <v>542</v>
      </c>
      <c r="G128" s="31"/>
      <c r="H128" s="14" t="s">
        <v>13</v>
      </c>
      <c r="I128" s="13"/>
    </row>
    <row r="129" spans="1:9" ht="26.4" x14ac:dyDescent="0.3">
      <c r="A129" s="11" t="s">
        <v>543</v>
      </c>
      <c r="B129" s="11" t="s">
        <v>26</v>
      </c>
      <c r="C129" s="16" t="s">
        <v>68</v>
      </c>
      <c r="D129" s="13" t="s">
        <v>544</v>
      </c>
      <c r="E129" s="13" t="s">
        <v>545</v>
      </c>
      <c r="F129" s="13" t="s">
        <v>546</v>
      </c>
      <c r="G129" s="31"/>
      <c r="H129" s="14" t="s">
        <v>13</v>
      </c>
      <c r="I129" s="13"/>
    </row>
    <row r="130" spans="1:9" x14ac:dyDescent="0.3">
      <c r="A130" s="11" t="s">
        <v>547</v>
      </c>
      <c r="B130" s="11" t="s">
        <v>26</v>
      </c>
      <c r="C130" s="16" t="s">
        <v>68</v>
      </c>
      <c r="D130" s="13" t="s">
        <v>548</v>
      </c>
      <c r="E130" s="13" t="s">
        <v>549</v>
      </c>
      <c r="F130" s="13" t="s">
        <v>550</v>
      </c>
      <c r="G130" s="31"/>
      <c r="H130" s="14" t="s">
        <v>13</v>
      </c>
      <c r="I130" s="13"/>
    </row>
    <row r="131" spans="1:9" ht="26.4" x14ac:dyDescent="0.3">
      <c r="A131" s="11" t="s">
        <v>551</v>
      </c>
      <c r="B131" s="11" t="s">
        <v>26</v>
      </c>
      <c r="C131" s="16" t="s">
        <v>68</v>
      </c>
      <c r="D131" s="13" t="s">
        <v>552</v>
      </c>
      <c r="E131" s="13" t="s">
        <v>553</v>
      </c>
      <c r="F131" s="13" t="s">
        <v>554</v>
      </c>
      <c r="G131" s="31"/>
      <c r="H131" s="14" t="s">
        <v>13</v>
      </c>
      <c r="I131" s="13"/>
    </row>
    <row r="132" spans="1:9" x14ac:dyDescent="0.3">
      <c r="A132" s="11" t="s">
        <v>555</v>
      </c>
      <c r="B132" s="11" t="s">
        <v>26</v>
      </c>
      <c r="C132" s="16" t="s">
        <v>68</v>
      </c>
      <c r="D132" s="13" t="s">
        <v>556</v>
      </c>
      <c r="E132" s="13" t="s">
        <v>557</v>
      </c>
      <c r="F132" s="13" t="s">
        <v>483</v>
      </c>
      <c r="G132" s="31"/>
      <c r="H132" s="14" t="s">
        <v>13</v>
      </c>
      <c r="I132" s="13"/>
    </row>
    <row r="133" spans="1:9" x14ac:dyDescent="0.3">
      <c r="A133" s="11" t="s">
        <v>558</v>
      </c>
      <c r="B133" s="11" t="s">
        <v>26</v>
      </c>
      <c r="C133" s="16" t="s">
        <v>68</v>
      </c>
      <c r="D133" s="13" t="s">
        <v>559</v>
      </c>
      <c r="E133" s="13" t="s">
        <v>560</v>
      </c>
      <c r="F133" s="13" t="s">
        <v>561</v>
      </c>
      <c r="G133" s="31"/>
      <c r="H133" s="14" t="s">
        <v>13</v>
      </c>
      <c r="I133" s="13"/>
    </row>
    <row r="134" spans="1:9" x14ac:dyDescent="0.3">
      <c r="G134" s="31"/>
    </row>
    <row r="135" spans="1:9" x14ac:dyDescent="0.3">
      <c r="G135" s="31"/>
    </row>
  </sheetData>
  <autoFilter ref="A1:I133" xr:uid="{00000000-0001-0000-0200-000000000000}"/>
  <dataValidations count="1">
    <dataValidation type="list" sqref="H2:H133" xr:uid="{00000000-0002-0000-0200-000000000000}">
      <formula1>"Pendiente,Pasó,Falló"</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zoomScaleNormal="100" workbookViewId="0">
      <selection activeCell="D18" sqref="D18"/>
    </sheetView>
  </sheetViews>
  <sheetFormatPr baseColWidth="10" defaultColWidth="8.6640625" defaultRowHeight="14.4" x14ac:dyDescent="0.3"/>
  <cols>
    <col min="1" max="1" width="10" customWidth="1"/>
    <col min="2" max="2" width="18" customWidth="1"/>
    <col min="3" max="3" width="16" customWidth="1"/>
    <col min="4" max="5" width="10" customWidth="1"/>
    <col min="6" max="6" width="12" customWidth="1"/>
    <col min="7" max="7" width="14" customWidth="1"/>
  </cols>
  <sheetData>
    <row r="1" spans="1:7" ht="31.5" customHeight="1" x14ac:dyDescent="0.3">
      <c r="A1" s="5" t="s">
        <v>8</v>
      </c>
      <c r="B1" s="5" t="s">
        <v>9</v>
      </c>
      <c r="C1" s="5" t="s">
        <v>10</v>
      </c>
      <c r="D1" s="5" t="s">
        <v>11</v>
      </c>
      <c r="E1" s="5" t="s">
        <v>12</v>
      </c>
      <c r="F1" s="5" t="s">
        <v>13</v>
      </c>
      <c r="G1" s="5" t="s">
        <v>14</v>
      </c>
    </row>
    <row r="2" spans="1:7" x14ac:dyDescent="0.3">
      <c r="A2" s="6" t="s">
        <v>15</v>
      </c>
      <c r="B2" s="6" t="s">
        <v>16</v>
      </c>
      <c r="C2" s="6">
        <f>COUNTIF('Casos de prueba'!$B$2:$B$233,A2)</f>
        <v>11</v>
      </c>
      <c r="D2" s="6">
        <f>COUNTIFS('Casos de prueba'!$B$2:$B$233,A2,'Casos de prueba'!$H$2:$H$233,"Pasó")</f>
        <v>11</v>
      </c>
      <c r="E2" s="6">
        <f>COUNTIFS('Casos de prueba'!$B$2:$B$233,A2,'Casos de prueba'!$H$2:$H$233,"Falló")</f>
        <v>0</v>
      </c>
      <c r="F2" s="6">
        <f>COUNTIFS('Casos de prueba'!$B$2:$B$233,A2,'Casos de prueba'!$H$2:$H$233,"Pendiente")</f>
        <v>0</v>
      </c>
      <c r="G2" s="7">
        <f t="shared" ref="G2:G12" si="0">IF(C2=0,0,D2/C2)</f>
        <v>1</v>
      </c>
    </row>
    <row r="3" spans="1:7" x14ac:dyDescent="0.3">
      <c r="A3" s="6" t="s">
        <v>17</v>
      </c>
      <c r="B3" s="6" t="s">
        <v>16</v>
      </c>
      <c r="C3" s="6">
        <f>COUNTIF('Casos de prueba'!$B$2:$B$233,A3)</f>
        <v>14</v>
      </c>
      <c r="D3" s="6">
        <f>COUNTIFS('Casos de prueba'!$B$2:$B$233,A3,'Casos de prueba'!$H$2:$H$233,"Pasó")</f>
        <v>6</v>
      </c>
      <c r="E3" s="6">
        <f>COUNTIFS('Casos de prueba'!$B$2:$B$233,A3,'Casos de prueba'!$H$2:$H$233,"Falló")</f>
        <v>0</v>
      </c>
      <c r="F3" s="6">
        <f>COUNTIFS('Casos de prueba'!$B$2:$B$233,A3,'Casos de prueba'!$H$2:$H$233,"Pendiente")</f>
        <v>8</v>
      </c>
      <c r="G3" s="7">
        <f t="shared" si="0"/>
        <v>0.42857142857142855</v>
      </c>
    </row>
    <row r="4" spans="1:7" x14ac:dyDescent="0.3">
      <c r="A4" s="6" t="s">
        <v>18</v>
      </c>
      <c r="B4" s="6" t="s">
        <v>19</v>
      </c>
      <c r="C4" s="6">
        <f>COUNTIF('Casos de prueba'!$B$2:$B$233,A4)</f>
        <v>8</v>
      </c>
      <c r="D4" s="6">
        <f>COUNTIFS('Casos de prueba'!$B$2:$B$233,A4,'Casos de prueba'!$H$2:$H$233,"Pasó")</f>
        <v>0</v>
      </c>
      <c r="E4" s="6">
        <f>COUNTIFS('Casos de prueba'!$B$2:$B$233,A4,'Casos de prueba'!$H$2:$H$233,"Falló")</f>
        <v>0</v>
      </c>
      <c r="F4" s="6">
        <f>COUNTIFS('Casos de prueba'!$B$2:$B$233,A4,'Casos de prueba'!$H$2:$H$233,"Pendiente")</f>
        <v>8</v>
      </c>
      <c r="G4" s="7">
        <f t="shared" si="0"/>
        <v>0</v>
      </c>
    </row>
    <row r="5" spans="1:7" x14ac:dyDescent="0.3">
      <c r="A5" s="6" t="s">
        <v>20</v>
      </c>
      <c r="B5" s="6" t="s">
        <v>16</v>
      </c>
      <c r="C5" s="6">
        <f>COUNTIF('Casos de prueba'!$B$2:$B$233,A5)</f>
        <v>11</v>
      </c>
      <c r="D5" s="6">
        <f>COUNTIFS('Casos de prueba'!$B$2:$B$233,A5,'Casos de prueba'!$H$2:$H$233,"Pasó")</f>
        <v>4</v>
      </c>
      <c r="E5" s="6">
        <f>COUNTIFS('Casos de prueba'!$B$2:$B$233,A5,'Casos de prueba'!$H$2:$H$233,"Falló")</f>
        <v>0</v>
      </c>
      <c r="F5" s="6">
        <f>COUNTIFS('Casos de prueba'!$B$2:$B$233,A5,'Casos de prueba'!$H$2:$H$233,"Pendiente")</f>
        <v>7</v>
      </c>
      <c r="G5" s="7">
        <f t="shared" si="0"/>
        <v>0.36363636363636365</v>
      </c>
    </row>
    <row r="6" spans="1:7" x14ac:dyDescent="0.3">
      <c r="A6" s="6" t="s">
        <v>21</v>
      </c>
      <c r="B6" s="6" t="s">
        <v>16</v>
      </c>
      <c r="C6" s="6">
        <f>COUNTIF('Casos de prueba'!$B$2:$B$233,A6)</f>
        <v>11</v>
      </c>
      <c r="D6" s="6">
        <f>COUNTIFS('Casos de prueba'!$B$2:$B$233,A6,'Casos de prueba'!$H$2:$H$233,"Pasó")</f>
        <v>0</v>
      </c>
      <c r="E6" s="6">
        <f>COUNTIFS('Casos de prueba'!$B$2:$B$233,A6,'Casos de prueba'!$H$2:$H$233,"Falló")</f>
        <v>0</v>
      </c>
      <c r="F6" s="6">
        <f>COUNTIFS('Casos de prueba'!$B$2:$B$233,A6,'Casos de prueba'!$H$2:$H$233,"Pendiente")</f>
        <v>11</v>
      </c>
      <c r="G6" s="7">
        <f t="shared" si="0"/>
        <v>0</v>
      </c>
    </row>
    <row r="7" spans="1:7" x14ac:dyDescent="0.3">
      <c r="A7" s="6" t="s">
        <v>22</v>
      </c>
      <c r="B7" s="6" t="s">
        <v>16</v>
      </c>
      <c r="C7" s="6">
        <f>COUNTIF('Casos de prueba'!$B$2:$B$233,A7)</f>
        <v>11</v>
      </c>
      <c r="D7" s="6">
        <f>COUNTIFS('Casos de prueba'!$B$2:$B$233,A7,'Casos de prueba'!$H$2:$H$233,"Pasó")</f>
        <v>0</v>
      </c>
      <c r="E7" s="6">
        <f>COUNTIFS('Casos de prueba'!$B$2:$B$233,A7,'Casos de prueba'!$H$2:$H$233,"Falló")</f>
        <v>0</v>
      </c>
      <c r="F7" s="6">
        <f>COUNTIFS('Casos de prueba'!$B$2:$B$233,A7,'Casos de prueba'!$H$2:$H$233,"Pendiente")</f>
        <v>11</v>
      </c>
      <c r="G7" s="7">
        <f t="shared" si="0"/>
        <v>0</v>
      </c>
    </row>
    <row r="8" spans="1:7" x14ac:dyDescent="0.3">
      <c r="A8" s="6" t="s">
        <v>23</v>
      </c>
      <c r="B8" s="6" t="s">
        <v>16</v>
      </c>
      <c r="C8" s="6">
        <f>COUNTIF('Casos de prueba'!$B$2:$B$233,A8)</f>
        <v>14</v>
      </c>
      <c r="D8" s="6">
        <f>COUNTIFS('Casos de prueba'!$B$2:$B$233,A8,'Casos de prueba'!$H$2:$H$233,"Pasó")</f>
        <v>0</v>
      </c>
      <c r="E8" s="6">
        <f>COUNTIFS('Casos de prueba'!$B$2:$B$233,A8,'Casos de prueba'!$H$2:$H$233,"Falló")</f>
        <v>0</v>
      </c>
      <c r="F8" s="6">
        <f>COUNTIFS('Casos de prueba'!$B$2:$B$233,A8,'Casos de prueba'!$H$2:$H$233,"Pendiente")</f>
        <v>14</v>
      </c>
      <c r="G8" s="7">
        <f t="shared" si="0"/>
        <v>0</v>
      </c>
    </row>
    <row r="9" spans="1:7" x14ac:dyDescent="0.3">
      <c r="A9" s="6" t="s">
        <v>24</v>
      </c>
      <c r="B9" s="6" t="s">
        <v>16</v>
      </c>
      <c r="C9" s="6">
        <f>COUNTIF('Casos de prueba'!$B$2:$B$233,A9)</f>
        <v>14</v>
      </c>
      <c r="D9" s="6">
        <f>COUNTIFS('Casos de prueba'!$B$2:$B$233,A9,'Casos de prueba'!$H$2:$H$233,"Pasó")</f>
        <v>0</v>
      </c>
      <c r="E9" s="6">
        <f>COUNTIFS('Casos de prueba'!$B$2:$B$233,A9,'Casos de prueba'!$H$2:$H$233,"Falló")</f>
        <v>0</v>
      </c>
      <c r="F9" s="6">
        <f>COUNTIFS('Casos de prueba'!$B$2:$B$233,A9,'Casos de prueba'!$H$2:$H$233,"Pendiente")</f>
        <v>14</v>
      </c>
      <c r="G9" s="7">
        <f t="shared" si="0"/>
        <v>0</v>
      </c>
    </row>
    <row r="10" spans="1:7" x14ac:dyDescent="0.3">
      <c r="A10" s="6" t="s">
        <v>25</v>
      </c>
      <c r="B10" s="6" t="s">
        <v>16</v>
      </c>
      <c r="C10" s="6">
        <f>COUNTIF('Casos de prueba'!$B$2:$B$233,A10)</f>
        <v>20</v>
      </c>
      <c r="D10" s="6">
        <f>COUNTIFS('Casos de prueba'!$B$2:$B$233,A10,'Casos de prueba'!$H$2:$H$233,"Pasó")</f>
        <v>0</v>
      </c>
      <c r="E10" s="6">
        <f>COUNTIFS('Casos de prueba'!$B$2:$B$233,A10,'Casos de prueba'!$H$2:$H$233,"Falló")</f>
        <v>0</v>
      </c>
      <c r="F10" s="6">
        <f>COUNTIFS('Casos de prueba'!$B$2:$B$233,A10,'Casos de prueba'!$H$2:$H$233,"Pendiente")</f>
        <v>20</v>
      </c>
      <c r="G10" s="7">
        <f t="shared" si="0"/>
        <v>0</v>
      </c>
    </row>
    <row r="11" spans="1:7" x14ac:dyDescent="0.3">
      <c r="A11" s="6" t="s">
        <v>26</v>
      </c>
      <c r="B11" s="6" t="s">
        <v>16</v>
      </c>
      <c r="C11" s="6">
        <f>COUNTIF('Casos de prueba'!$B$2:$B$233,A11)</f>
        <v>18</v>
      </c>
      <c r="D11" s="6">
        <f>COUNTIFS('Casos de prueba'!$B$2:$B$233,A11,'Casos de prueba'!$H$2:$H$233,"Pasó")</f>
        <v>0</v>
      </c>
      <c r="E11" s="6">
        <f>COUNTIFS('Casos de prueba'!$B$2:$B$233,A11,'Casos de prueba'!$H$2:$H$233,"Falló")</f>
        <v>0</v>
      </c>
      <c r="F11" s="6">
        <f>COUNTIFS('Casos de prueba'!$B$2:$B$233,A11,'Casos de prueba'!$H$2:$H$233,"Pendiente")</f>
        <v>18</v>
      </c>
      <c r="G11" s="7">
        <f t="shared" si="0"/>
        <v>0</v>
      </c>
    </row>
    <row r="12" spans="1:7" x14ac:dyDescent="0.3">
      <c r="A12" s="8" t="s">
        <v>27</v>
      </c>
      <c r="B12" s="8"/>
      <c r="C12" s="8">
        <f>SUM(C2:C11)</f>
        <v>132</v>
      </c>
      <c r="D12" s="8">
        <f>SUM(D2:D11)</f>
        <v>21</v>
      </c>
      <c r="E12" s="8">
        <f>SUM(E2:E11)</f>
        <v>0</v>
      </c>
      <c r="F12" s="8">
        <f>SUM(F2:F11)</f>
        <v>111</v>
      </c>
      <c r="G12" s="9">
        <f t="shared" si="0"/>
        <v>0.15909090909090909</v>
      </c>
    </row>
    <row r="14" spans="1:7" x14ac:dyDescent="0.3">
      <c r="A14" s="10" t="s">
        <v>28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tabSelected="1" zoomScaleNormal="100" workbookViewId="0">
      <pane ySplit="1" topLeftCell="A42" activePane="bottomLeft" state="frozen"/>
      <selection pane="bottomLeft" activeCell="C4" sqref="C4"/>
    </sheetView>
  </sheetViews>
  <sheetFormatPr baseColWidth="10" defaultColWidth="8.6640625" defaultRowHeight="14.4" x14ac:dyDescent="0.3"/>
  <cols>
    <col min="1" max="1" width="8" customWidth="1"/>
    <col min="2" max="2" width="30" customWidth="1"/>
    <col min="3" max="3" width="13" customWidth="1"/>
    <col min="4" max="4" width="110" customWidth="1"/>
    <col min="5" max="5" width="40" customWidth="1"/>
  </cols>
  <sheetData>
    <row r="1" spans="1:5" ht="31.5" customHeight="1" x14ac:dyDescent="0.3">
      <c r="A1" s="5" t="s">
        <v>8</v>
      </c>
      <c r="B1" s="5" t="s">
        <v>562</v>
      </c>
      <c r="C1" s="5" t="s">
        <v>563</v>
      </c>
      <c r="D1" s="5" t="s">
        <v>564</v>
      </c>
      <c r="E1" s="5" t="s">
        <v>565</v>
      </c>
    </row>
    <row r="2" spans="1:5" ht="26.4" x14ac:dyDescent="0.3">
      <c r="A2" s="11" t="s">
        <v>15</v>
      </c>
      <c r="B2" s="13" t="s">
        <v>566</v>
      </c>
      <c r="C2" s="12" t="s">
        <v>567</v>
      </c>
      <c r="D2" s="13" t="s">
        <v>568</v>
      </c>
      <c r="E2" s="13" t="s">
        <v>569</v>
      </c>
    </row>
    <row r="3" spans="1:5" x14ac:dyDescent="0.3">
      <c r="A3" s="11" t="s">
        <v>15</v>
      </c>
      <c r="B3" s="13" t="s">
        <v>570</v>
      </c>
      <c r="C3" s="17" t="s">
        <v>571</v>
      </c>
      <c r="D3" s="13" t="s">
        <v>572</v>
      </c>
      <c r="E3" s="13" t="s">
        <v>573</v>
      </c>
    </row>
    <row r="4" spans="1:5" x14ac:dyDescent="0.3">
      <c r="A4" s="11" t="s">
        <v>15</v>
      </c>
      <c r="B4" s="13" t="s">
        <v>574</v>
      </c>
      <c r="C4" s="17" t="s">
        <v>571</v>
      </c>
      <c r="D4" s="13" t="s">
        <v>575</v>
      </c>
      <c r="E4" s="13" t="s">
        <v>576</v>
      </c>
    </row>
    <row r="5" spans="1:5" x14ac:dyDescent="0.3">
      <c r="A5" s="11" t="s">
        <v>15</v>
      </c>
      <c r="B5" s="13" t="s">
        <v>577</v>
      </c>
      <c r="C5" s="17" t="s">
        <v>571</v>
      </c>
      <c r="D5" s="13" t="s">
        <v>578</v>
      </c>
      <c r="E5" s="13" t="s">
        <v>579</v>
      </c>
    </row>
    <row r="6" spans="1:5" x14ac:dyDescent="0.3">
      <c r="A6" s="11" t="s">
        <v>15</v>
      </c>
      <c r="B6" s="13" t="s">
        <v>580</v>
      </c>
      <c r="C6" s="16" t="s">
        <v>581</v>
      </c>
      <c r="D6" s="13" t="s">
        <v>582</v>
      </c>
      <c r="E6" s="13" t="s">
        <v>583</v>
      </c>
    </row>
    <row r="7" spans="1:5" x14ac:dyDescent="0.3">
      <c r="A7" s="11" t="s">
        <v>15</v>
      </c>
      <c r="B7" s="13" t="s">
        <v>584</v>
      </c>
      <c r="C7" s="16" t="s">
        <v>581</v>
      </c>
      <c r="D7" s="13" t="s">
        <v>585</v>
      </c>
      <c r="E7" s="13" t="s">
        <v>586</v>
      </c>
    </row>
    <row r="8" spans="1:5" x14ac:dyDescent="0.3">
      <c r="A8" s="11" t="s">
        <v>15</v>
      </c>
      <c r="B8" s="13" t="s">
        <v>587</v>
      </c>
      <c r="C8" s="16" t="s">
        <v>581</v>
      </c>
      <c r="D8" s="13" t="s">
        <v>588</v>
      </c>
      <c r="E8" s="13" t="s">
        <v>589</v>
      </c>
    </row>
    <row r="9" spans="1:5" ht="26.4" x14ac:dyDescent="0.3">
      <c r="A9" s="11" t="s">
        <v>17</v>
      </c>
      <c r="B9" s="13" t="s">
        <v>590</v>
      </c>
      <c r="C9" s="12" t="s">
        <v>567</v>
      </c>
      <c r="D9" s="13" t="s">
        <v>591</v>
      </c>
      <c r="E9" s="13" t="s">
        <v>592</v>
      </c>
    </row>
    <row r="10" spans="1:5" x14ac:dyDescent="0.3">
      <c r="A10" s="11" t="s">
        <v>17</v>
      </c>
      <c r="B10" s="13" t="s">
        <v>593</v>
      </c>
      <c r="C10" s="17" t="s">
        <v>571</v>
      </c>
      <c r="D10" s="13" t="s">
        <v>594</v>
      </c>
      <c r="E10" s="13" t="s">
        <v>595</v>
      </c>
    </row>
    <row r="11" spans="1:5" x14ac:dyDescent="0.3">
      <c r="A11" s="11" t="s">
        <v>17</v>
      </c>
      <c r="B11" s="13" t="s">
        <v>596</v>
      </c>
      <c r="C11" s="17" t="s">
        <v>571</v>
      </c>
      <c r="D11" s="13" t="s">
        <v>597</v>
      </c>
      <c r="E11" s="13" t="s">
        <v>111</v>
      </c>
    </row>
    <row r="12" spans="1:5" x14ac:dyDescent="0.3">
      <c r="A12" s="11" t="s">
        <v>17</v>
      </c>
      <c r="B12" s="13" t="s">
        <v>598</v>
      </c>
      <c r="C12" s="17" t="s">
        <v>571</v>
      </c>
      <c r="D12" s="13" t="s">
        <v>599</v>
      </c>
      <c r="E12" s="13" t="s">
        <v>600</v>
      </c>
    </row>
    <row r="13" spans="1:5" x14ac:dyDescent="0.3">
      <c r="A13" s="11" t="s">
        <v>17</v>
      </c>
      <c r="B13" s="13" t="s">
        <v>601</v>
      </c>
      <c r="C13" s="17" t="s">
        <v>571</v>
      </c>
      <c r="D13" s="13" t="s">
        <v>602</v>
      </c>
      <c r="E13" s="13" t="s">
        <v>603</v>
      </c>
    </row>
    <row r="14" spans="1:5" x14ac:dyDescent="0.3">
      <c r="A14" s="11" t="s">
        <v>17</v>
      </c>
      <c r="B14" s="13" t="s">
        <v>604</v>
      </c>
      <c r="C14" s="17" t="s">
        <v>571</v>
      </c>
      <c r="D14" s="13" t="s">
        <v>605</v>
      </c>
      <c r="E14" s="13" t="s">
        <v>606</v>
      </c>
    </row>
    <row r="15" spans="1:5" x14ac:dyDescent="0.3">
      <c r="A15" s="11" t="s">
        <v>17</v>
      </c>
      <c r="B15" s="13" t="s">
        <v>607</v>
      </c>
      <c r="C15" s="16" t="s">
        <v>581</v>
      </c>
      <c r="D15" s="13" t="s">
        <v>608</v>
      </c>
      <c r="E15" s="13" t="s">
        <v>586</v>
      </c>
    </row>
    <row r="16" spans="1:5" x14ac:dyDescent="0.3">
      <c r="A16" s="11" t="s">
        <v>18</v>
      </c>
      <c r="B16" s="13" t="s">
        <v>609</v>
      </c>
      <c r="C16" s="12" t="s">
        <v>567</v>
      </c>
      <c r="D16" s="13" t="s">
        <v>610</v>
      </c>
      <c r="E16" s="13" t="s">
        <v>611</v>
      </c>
    </row>
    <row r="17" spans="1:5" x14ac:dyDescent="0.3">
      <c r="A17" s="11" t="s">
        <v>18</v>
      </c>
      <c r="B17" s="13" t="s">
        <v>612</v>
      </c>
      <c r="C17" s="17" t="s">
        <v>571</v>
      </c>
      <c r="D17" s="13" t="s">
        <v>613</v>
      </c>
      <c r="E17" s="13" t="s">
        <v>614</v>
      </c>
    </row>
    <row r="18" spans="1:5" x14ac:dyDescent="0.3">
      <c r="A18" s="11" t="s">
        <v>18</v>
      </c>
      <c r="B18" s="13" t="s">
        <v>615</v>
      </c>
      <c r="C18" s="18" t="s">
        <v>13</v>
      </c>
      <c r="D18" s="13" t="s">
        <v>616</v>
      </c>
      <c r="E18" s="13" t="s">
        <v>617</v>
      </c>
    </row>
    <row r="19" spans="1:5" x14ac:dyDescent="0.3">
      <c r="A19" s="11" t="s">
        <v>18</v>
      </c>
      <c r="B19" s="13" t="s">
        <v>618</v>
      </c>
      <c r="C19" s="16" t="s">
        <v>581</v>
      </c>
      <c r="D19" s="13" t="s">
        <v>619</v>
      </c>
      <c r="E19" s="13" t="s">
        <v>620</v>
      </c>
    </row>
    <row r="20" spans="1:5" ht="26.4" x14ac:dyDescent="0.3">
      <c r="A20" s="11" t="s">
        <v>20</v>
      </c>
      <c r="B20" s="13" t="s">
        <v>621</v>
      </c>
      <c r="C20" s="12" t="s">
        <v>567</v>
      </c>
      <c r="D20" s="13" t="s">
        <v>622</v>
      </c>
      <c r="E20" s="13" t="s">
        <v>623</v>
      </c>
    </row>
    <row r="21" spans="1:5" x14ac:dyDescent="0.3">
      <c r="A21" s="11" t="s">
        <v>20</v>
      </c>
      <c r="B21" s="13" t="s">
        <v>570</v>
      </c>
      <c r="C21" s="17" t="s">
        <v>571</v>
      </c>
      <c r="D21" s="13" t="s">
        <v>624</v>
      </c>
      <c r="E21" s="13" t="s">
        <v>186</v>
      </c>
    </row>
    <row r="22" spans="1:5" x14ac:dyDescent="0.3">
      <c r="A22" s="11" t="s">
        <v>20</v>
      </c>
      <c r="B22" s="13" t="s">
        <v>625</v>
      </c>
      <c r="C22" s="17" t="s">
        <v>571</v>
      </c>
      <c r="D22" s="13" t="s">
        <v>626</v>
      </c>
      <c r="E22" s="13" t="s">
        <v>627</v>
      </c>
    </row>
    <row r="23" spans="1:5" x14ac:dyDescent="0.3">
      <c r="A23" s="11" t="s">
        <v>20</v>
      </c>
      <c r="B23" s="13" t="s">
        <v>628</v>
      </c>
      <c r="C23" s="17" t="s">
        <v>571</v>
      </c>
      <c r="D23" s="13" t="s">
        <v>629</v>
      </c>
      <c r="E23" s="13" t="s">
        <v>630</v>
      </c>
    </row>
    <row r="24" spans="1:5" x14ac:dyDescent="0.3">
      <c r="A24" s="11" t="s">
        <v>20</v>
      </c>
      <c r="B24" s="13" t="s">
        <v>631</v>
      </c>
      <c r="C24" s="16" t="s">
        <v>581</v>
      </c>
      <c r="D24" s="13" t="s">
        <v>632</v>
      </c>
      <c r="E24" s="13" t="s">
        <v>633</v>
      </c>
    </row>
    <row r="25" spans="1:5" ht="26.4" x14ac:dyDescent="0.3">
      <c r="A25" s="11" t="s">
        <v>21</v>
      </c>
      <c r="B25" s="13" t="s">
        <v>634</v>
      </c>
      <c r="C25" s="12" t="s">
        <v>567</v>
      </c>
      <c r="D25" s="13" t="s">
        <v>635</v>
      </c>
      <c r="E25" s="13" t="s">
        <v>636</v>
      </c>
    </row>
    <row r="26" spans="1:5" x14ac:dyDescent="0.3">
      <c r="A26" s="11" t="s">
        <v>21</v>
      </c>
      <c r="B26" s="13" t="s">
        <v>570</v>
      </c>
      <c r="C26" s="17" t="s">
        <v>571</v>
      </c>
      <c r="D26" s="13" t="s">
        <v>637</v>
      </c>
      <c r="E26" s="13" t="s">
        <v>186</v>
      </c>
    </row>
    <row r="27" spans="1:5" x14ac:dyDescent="0.3">
      <c r="A27" s="11" t="s">
        <v>21</v>
      </c>
      <c r="B27" s="13" t="s">
        <v>638</v>
      </c>
      <c r="C27" s="17" t="s">
        <v>571</v>
      </c>
      <c r="D27" s="13" t="s">
        <v>639</v>
      </c>
      <c r="E27" s="13" t="s">
        <v>640</v>
      </c>
    </row>
    <row r="28" spans="1:5" x14ac:dyDescent="0.3">
      <c r="A28" s="11" t="s">
        <v>21</v>
      </c>
      <c r="B28" s="13" t="s">
        <v>641</v>
      </c>
      <c r="C28" s="16" t="s">
        <v>581</v>
      </c>
      <c r="D28" s="13" t="s">
        <v>642</v>
      </c>
      <c r="E28" s="13" t="s">
        <v>643</v>
      </c>
    </row>
    <row r="29" spans="1:5" ht="26.4" x14ac:dyDescent="0.3">
      <c r="A29" s="11" t="s">
        <v>22</v>
      </c>
      <c r="B29" s="13" t="s">
        <v>644</v>
      </c>
      <c r="C29" s="12" t="s">
        <v>567</v>
      </c>
      <c r="D29" s="13" t="s">
        <v>645</v>
      </c>
      <c r="E29" s="13" t="s">
        <v>646</v>
      </c>
    </row>
    <row r="30" spans="1:5" x14ac:dyDescent="0.3">
      <c r="A30" s="11" t="s">
        <v>22</v>
      </c>
      <c r="B30" s="13" t="s">
        <v>647</v>
      </c>
      <c r="C30" s="17" t="s">
        <v>571</v>
      </c>
      <c r="D30" s="13" t="s">
        <v>648</v>
      </c>
      <c r="E30" s="13" t="s">
        <v>649</v>
      </c>
    </row>
    <row r="31" spans="1:5" x14ac:dyDescent="0.3">
      <c r="A31" s="11" t="s">
        <v>22</v>
      </c>
      <c r="B31" s="13" t="s">
        <v>650</v>
      </c>
      <c r="C31" s="17" t="s">
        <v>571</v>
      </c>
      <c r="D31" s="13" t="s">
        <v>651</v>
      </c>
      <c r="E31" s="13" t="s">
        <v>186</v>
      </c>
    </row>
    <row r="32" spans="1:5" x14ac:dyDescent="0.3">
      <c r="A32" s="11" t="s">
        <v>22</v>
      </c>
      <c r="B32" s="13" t="s">
        <v>641</v>
      </c>
      <c r="C32" s="16" t="s">
        <v>581</v>
      </c>
      <c r="D32" s="13" t="s">
        <v>642</v>
      </c>
      <c r="E32" s="13" t="s">
        <v>643</v>
      </c>
    </row>
    <row r="33" spans="1:5" ht="26.4" x14ac:dyDescent="0.3">
      <c r="A33" s="11" t="s">
        <v>23</v>
      </c>
      <c r="B33" s="13" t="s">
        <v>652</v>
      </c>
      <c r="C33" s="12" t="s">
        <v>567</v>
      </c>
      <c r="D33" s="13" t="s">
        <v>653</v>
      </c>
      <c r="E33" s="13" t="s">
        <v>654</v>
      </c>
    </row>
    <row r="34" spans="1:5" ht="26.4" x14ac:dyDescent="0.3">
      <c r="A34" s="11" t="s">
        <v>23</v>
      </c>
      <c r="B34" s="13" t="s">
        <v>655</v>
      </c>
      <c r="C34" s="17" t="s">
        <v>571</v>
      </c>
      <c r="D34" s="13" t="s">
        <v>656</v>
      </c>
      <c r="E34" s="13" t="s">
        <v>318</v>
      </c>
    </row>
    <row r="35" spans="1:5" x14ac:dyDescent="0.3">
      <c r="A35" s="11" t="s">
        <v>23</v>
      </c>
      <c r="B35" s="13" t="s">
        <v>657</v>
      </c>
      <c r="C35" s="16" t="s">
        <v>581</v>
      </c>
      <c r="D35" s="13" t="s">
        <v>658</v>
      </c>
      <c r="E35" s="13" t="s">
        <v>322</v>
      </c>
    </row>
    <row r="36" spans="1:5" x14ac:dyDescent="0.3">
      <c r="A36" s="11" t="s">
        <v>23</v>
      </c>
      <c r="B36" s="13" t="s">
        <v>659</v>
      </c>
      <c r="C36" s="16" t="s">
        <v>581</v>
      </c>
      <c r="D36" s="13" t="s">
        <v>660</v>
      </c>
      <c r="E36" s="13" t="s">
        <v>661</v>
      </c>
    </row>
    <row r="37" spans="1:5" x14ac:dyDescent="0.3">
      <c r="A37" s="11" t="s">
        <v>23</v>
      </c>
      <c r="B37" s="13" t="s">
        <v>662</v>
      </c>
      <c r="C37" s="17" t="s">
        <v>571</v>
      </c>
      <c r="D37" s="13" t="s">
        <v>663</v>
      </c>
      <c r="E37" s="13" t="s">
        <v>664</v>
      </c>
    </row>
    <row r="38" spans="1:5" ht="26.4" x14ac:dyDescent="0.3">
      <c r="A38" s="11" t="s">
        <v>24</v>
      </c>
      <c r="B38" s="13" t="s">
        <v>665</v>
      </c>
      <c r="C38" s="12" t="s">
        <v>567</v>
      </c>
      <c r="D38" s="13" t="s">
        <v>666</v>
      </c>
      <c r="E38" s="13" t="s">
        <v>667</v>
      </c>
    </row>
    <row r="39" spans="1:5" x14ac:dyDescent="0.3">
      <c r="A39" s="11" t="s">
        <v>24</v>
      </c>
      <c r="B39" s="13" t="s">
        <v>668</v>
      </c>
      <c r="C39" s="17" t="s">
        <v>571</v>
      </c>
      <c r="D39" s="13" t="s">
        <v>669</v>
      </c>
      <c r="E39" s="13" t="s">
        <v>670</v>
      </c>
    </row>
    <row r="40" spans="1:5" x14ac:dyDescent="0.3">
      <c r="A40" s="11" t="s">
        <v>24</v>
      </c>
      <c r="B40" s="13" t="s">
        <v>671</v>
      </c>
      <c r="C40" s="17" t="s">
        <v>571</v>
      </c>
      <c r="D40" s="13" t="s">
        <v>672</v>
      </c>
      <c r="E40" s="13" t="s">
        <v>673</v>
      </c>
    </row>
    <row r="41" spans="1:5" x14ac:dyDescent="0.3">
      <c r="A41" s="11" t="s">
        <v>24</v>
      </c>
      <c r="B41" s="13" t="s">
        <v>674</v>
      </c>
      <c r="C41" s="16" t="s">
        <v>581</v>
      </c>
      <c r="D41" s="13" t="s">
        <v>675</v>
      </c>
      <c r="E41" s="13" t="s">
        <v>676</v>
      </c>
    </row>
    <row r="42" spans="1:5" x14ac:dyDescent="0.3">
      <c r="A42" s="11" t="s">
        <v>25</v>
      </c>
      <c r="B42" s="13" t="s">
        <v>677</v>
      </c>
      <c r="C42" s="12" t="s">
        <v>567</v>
      </c>
      <c r="D42" s="13" t="s">
        <v>678</v>
      </c>
      <c r="E42" s="13" t="s">
        <v>679</v>
      </c>
    </row>
    <row r="43" spans="1:5" x14ac:dyDescent="0.3">
      <c r="A43" s="11" t="s">
        <v>25</v>
      </c>
      <c r="B43" s="13" t="s">
        <v>680</v>
      </c>
      <c r="C43" s="17" t="s">
        <v>571</v>
      </c>
      <c r="D43" s="13" t="s">
        <v>681</v>
      </c>
      <c r="E43" s="13" t="s">
        <v>682</v>
      </c>
    </row>
    <row r="44" spans="1:5" x14ac:dyDescent="0.3">
      <c r="A44" s="11" t="s">
        <v>25</v>
      </c>
      <c r="B44" s="13" t="s">
        <v>683</v>
      </c>
      <c r="C44" s="17" t="s">
        <v>571</v>
      </c>
      <c r="D44" s="13" t="s">
        <v>684</v>
      </c>
      <c r="E44" s="13" t="s">
        <v>685</v>
      </c>
    </row>
    <row r="45" spans="1:5" x14ac:dyDescent="0.3">
      <c r="A45" s="11" t="s">
        <v>25</v>
      </c>
      <c r="B45" s="13" t="s">
        <v>686</v>
      </c>
      <c r="C45" s="17" t="s">
        <v>571</v>
      </c>
      <c r="D45" s="13" t="s">
        <v>687</v>
      </c>
      <c r="E45" s="13" t="s">
        <v>688</v>
      </c>
    </row>
    <row r="46" spans="1:5" x14ac:dyDescent="0.3">
      <c r="A46" s="11" t="s">
        <v>25</v>
      </c>
      <c r="B46" s="13" t="s">
        <v>689</v>
      </c>
      <c r="C46" s="17" t="s">
        <v>571</v>
      </c>
      <c r="D46" s="13" t="s">
        <v>690</v>
      </c>
      <c r="E46" s="13" t="s">
        <v>691</v>
      </c>
    </row>
    <row r="47" spans="1:5" x14ac:dyDescent="0.3">
      <c r="A47" s="11" t="s">
        <v>25</v>
      </c>
      <c r="B47" s="13" t="s">
        <v>692</v>
      </c>
      <c r="C47" s="17" t="s">
        <v>571</v>
      </c>
      <c r="D47" s="13" t="s">
        <v>693</v>
      </c>
      <c r="E47" s="13" t="s">
        <v>694</v>
      </c>
    </row>
    <row r="48" spans="1:5" x14ac:dyDescent="0.3">
      <c r="A48" s="11" t="s">
        <v>25</v>
      </c>
      <c r="B48" s="13" t="s">
        <v>695</v>
      </c>
      <c r="C48" s="16" t="s">
        <v>581</v>
      </c>
      <c r="D48" s="13" t="s">
        <v>696</v>
      </c>
      <c r="E48" s="13" t="s">
        <v>586</v>
      </c>
    </row>
    <row r="49" spans="1:5" ht="26.4" x14ac:dyDescent="0.3">
      <c r="A49" s="11" t="s">
        <v>26</v>
      </c>
      <c r="B49" s="13" t="s">
        <v>697</v>
      </c>
      <c r="C49" s="12" t="s">
        <v>567</v>
      </c>
      <c r="D49" s="13" t="s">
        <v>698</v>
      </c>
      <c r="E49" s="13" t="s">
        <v>595</v>
      </c>
    </row>
    <row r="50" spans="1:5" x14ac:dyDescent="0.3">
      <c r="A50" s="11" t="s">
        <v>26</v>
      </c>
      <c r="B50" s="13" t="s">
        <v>699</v>
      </c>
      <c r="C50" s="17" t="s">
        <v>571</v>
      </c>
      <c r="D50" s="13" t="s">
        <v>700</v>
      </c>
      <c r="E50" s="13" t="s">
        <v>507</v>
      </c>
    </row>
    <row r="51" spans="1:5" x14ac:dyDescent="0.3">
      <c r="A51" s="11" t="s">
        <v>26</v>
      </c>
      <c r="B51" s="13" t="s">
        <v>701</v>
      </c>
      <c r="C51" s="17" t="s">
        <v>571</v>
      </c>
      <c r="D51" s="13" t="s">
        <v>702</v>
      </c>
      <c r="E51" s="13" t="s">
        <v>703</v>
      </c>
    </row>
    <row r="52" spans="1:5" x14ac:dyDescent="0.3">
      <c r="A52" s="11" t="s">
        <v>26</v>
      </c>
      <c r="B52" s="13" t="s">
        <v>704</v>
      </c>
      <c r="C52" s="17" t="s">
        <v>571</v>
      </c>
      <c r="D52" s="13" t="s">
        <v>705</v>
      </c>
      <c r="E52" s="13" t="s">
        <v>706</v>
      </c>
    </row>
    <row r="53" spans="1:5" x14ac:dyDescent="0.3">
      <c r="A53" s="11" t="s">
        <v>26</v>
      </c>
      <c r="B53" s="13" t="s">
        <v>707</v>
      </c>
      <c r="C53" s="16" t="s">
        <v>581</v>
      </c>
      <c r="D53" s="13" t="s">
        <v>708</v>
      </c>
      <c r="E53" s="13" t="s">
        <v>709</v>
      </c>
    </row>
    <row r="54" spans="1:5" x14ac:dyDescent="0.3">
      <c r="A54" s="11" t="s">
        <v>26</v>
      </c>
      <c r="B54" s="13" t="s">
        <v>710</v>
      </c>
      <c r="C54" s="17" t="s">
        <v>571</v>
      </c>
      <c r="D54" s="13" t="s">
        <v>711</v>
      </c>
      <c r="E54" s="13" t="s">
        <v>712</v>
      </c>
    </row>
  </sheetData>
  <autoFilter ref="A1:E54"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Leyenda</vt:lpstr>
      <vt:lpstr>Casos de prueba</vt:lpstr>
      <vt:lpstr>Resumen</vt:lpstr>
      <vt:lpstr>Flujos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Windows</cp:lastModifiedBy>
  <cp:revision>0</cp:revision>
  <dcterms:created xsi:type="dcterms:W3CDTF">2026-10-20T20:05:04Z</dcterms:created>
  <dcterms:modified xsi:type="dcterms:W3CDTF">2026-10-21T01:05:55Z</dcterms:modified>
  <dc:language>en-US</dc:language>
</cp:coreProperties>
</file>